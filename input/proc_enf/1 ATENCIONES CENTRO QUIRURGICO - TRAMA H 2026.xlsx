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ESTADISTICA 2025\PROCEDIMIENTOS 2026\PROCEDIMIENTOS MEDICOS\CENTRO QUIRURGICO\"/>
    </mc:Choice>
  </mc:AlternateContent>
  <xr:revisionPtr revIDLastSave="0" documentId="13_ncr:1_{F02F9B74-6FB9-411C-8A1C-E148D9416C35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HOJA 1" sheetId="1" r:id="rId1"/>
    <sheet name="Hoja1" sheetId="2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O4" i="2" l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3" i="2"/>
</calcChain>
</file>

<file path=xl/sharedStrings.xml><?xml version="1.0" encoding="utf-8"?>
<sst xmlns="http://schemas.openxmlformats.org/spreadsheetml/2006/main" count="7380" uniqueCount="376">
  <si>
    <t>M: MAÑANA
T: TARDE
GD: GUARDIA DIA
GN: GUARDIA NOCHE</t>
  </si>
  <si>
    <t>01: MEDICO</t>
  </si>
  <si>
    <t>M: MILITAR
C: CIVIL
S: SERUMS</t>
  </si>
  <si>
    <t>8 DIGITOS</t>
  </si>
  <si>
    <t xml:space="preserve">M: MASCULINO
F: FEMENINO
</t>
  </si>
  <si>
    <t>O: Oficiales 
 T: Técnicos
 S: Suboficiales
C: Cadetes
A: Alumnos
R: Tropa
F: Familiares
P: Proy. Social
Z: Otros</t>
  </si>
  <si>
    <t>A: ACTIVIDAD
D: DISPONIBILIDAD
R: RETIRO
N: NINGUNO</t>
  </si>
  <si>
    <t xml:space="preserve">E: EXCOMBATIENTE
D: DISCAPACITADO
N: NINGUNO </t>
  </si>
  <si>
    <t>M: MENOR                                                                 Y: MAYOR</t>
  </si>
  <si>
    <t>E: ESTABLE                                                           I: INESTABLE                                                    F: FALLECIDO</t>
  </si>
  <si>
    <t>P: PROGRAMADA                                        E: EMERGENCIA</t>
  </si>
  <si>
    <t>E: EMERGENCIA 
H: HOSPITALIZACIÓN
M: MORGUE           
R: RECUPERACIÓN   
TE: TÓPICO DE ENFERMERÍA  
TS: TRAUMA SHOCK</t>
  </si>
  <si>
    <t xml:space="preserve">R: REALIZADA
S: SUSPENDIDA
</t>
  </si>
  <si>
    <t>INTERVENCION QUIRÚRGICA</t>
  </si>
  <si>
    <t>TRAMA H</t>
  </si>
  <si>
    <t>FECHA</t>
  </si>
  <si>
    <t>TURNO</t>
  </si>
  <si>
    <t>CATEGORIA DEL PERSONAL DE SALUD</t>
  </si>
  <si>
    <t>CONDICION DEL PERSONAL DE SALUD</t>
  </si>
  <si>
    <t>NOMBRE DEL PERSONAL DE SALUD TRATANTE</t>
  </si>
  <si>
    <t>DNI DEL PERSONAL DE SALUD TRATANTE</t>
  </si>
  <si>
    <t>DNI DEL PACIENTE</t>
  </si>
  <si>
    <t>ESPECIALIDAD</t>
  </si>
  <si>
    <t>EDAD</t>
  </si>
  <si>
    <t>SEXO</t>
  </si>
  <si>
    <t>GRUPO</t>
  </si>
  <si>
    <t>situación</t>
  </si>
  <si>
    <t>Condición</t>
  </si>
  <si>
    <t>DIAGNOSTICO 1 (CIE 10)</t>
  </si>
  <si>
    <t>P: PRESUNTIVO
D: DEFINITIVO
R: REPITITIVO</t>
  </si>
  <si>
    <t>TIPO DE CIRUGÍA</t>
  </si>
  <si>
    <t>PROCEDIMIENTO (CPMS)</t>
  </si>
  <si>
    <t xml:space="preserve">ESTADO DEL PACIENTE AL EGRESO DE SALA DE OPERACIONES
</t>
  </si>
  <si>
    <t>TIPO DE INTERVENCIÓN QUIRURGICA</t>
  </si>
  <si>
    <t>DESTINO PACIENTE POST OPERADO</t>
  </si>
  <si>
    <t>LA INTERVENCION QUIRÚRGICA SE RELIZO EN LA FECHA PROGRAMADA</t>
  </si>
  <si>
    <t>FECHA DE LA INTERVENCION  QUIRÙRGICA</t>
  </si>
  <si>
    <t>HORA DE INICIO</t>
  </si>
  <si>
    <t>HORA DE TERMINO</t>
  </si>
  <si>
    <t>PERIODO</t>
  </si>
  <si>
    <t>IPRESS</t>
  </si>
  <si>
    <t>UGIPRESS</t>
  </si>
  <si>
    <t>CX PROG (1) CX EMG (2)</t>
  </si>
  <si>
    <t>CIRUGIAS MAYORES</t>
  </si>
  <si>
    <t>CIRUGIAS MENORES</t>
  </si>
  <si>
    <t>HORAS PROGRAMADAS</t>
  </si>
  <si>
    <t>HORAS EFECTIVAS</t>
  </si>
  <si>
    <t>HORAS ACTO QUIRURGICA</t>
  </si>
  <si>
    <t>CIRUGIAS SUSPENDIDAS</t>
  </si>
  <si>
    <t>GD</t>
  </si>
  <si>
    <t>M</t>
  </si>
  <si>
    <t>SAKAY PRADA ENRIQUE</t>
  </si>
  <si>
    <t>CIRUGIA GENERAL</t>
  </si>
  <si>
    <t>O</t>
  </si>
  <si>
    <t>N</t>
  </si>
  <si>
    <t>R10</t>
  </si>
  <si>
    <t>D</t>
  </si>
  <si>
    <t>E</t>
  </si>
  <si>
    <t>R</t>
  </si>
  <si>
    <t>1M</t>
  </si>
  <si>
    <t>C</t>
  </si>
  <si>
    <t>DR. PAVEL ANTEZANA BENDEZÚ</t>
  </si>
  <si>
    <t>SALUD MENTAL</t>
  </si>
  <si>
    <t>F</t>
  </si>
  <si>
    <t>F20.0</t>
  </si>
  <si>
    <t>P</t>
  </si>
  <si>
    <t>H</t>
  </si>
  <si>
    <t>2M</t>
  </si>
  <si>
    <t>21411763|1</t>
  </si>
  <si>
    <t>3M</t>
  </si>
  <si>
    <t>S</t>
  </si>
  <si>
    <t>1T</t>
  </si>
  <si>
    <t>LUNA HUARCA LUIS</t>
  </si>
  <si>
    <t>TRAUMATOLOGIA</t>
  </si>
  <si>
    <t>S61.3</t>
  </si>
  <si>
    <t>2T</t>
  </si>
  <si>
    <t>A</t>
  </si>
  <si>
    <t>S62.3</t>
  </si>
  <si>
    <t>URBINA AYUQUE FANNY</t>
  </si>
  <si>
    <t>OTORRINOLARINGOLOGIA</t>
  </si>
  <si>
    <t>J34.2</t>
  </si>
  <si>
    <t>Y</t>
  </si>
  <si>
    <t>CRISTIAN CHAHUARA RAMIREZ</t>
  </si>
  <si>
    <t>UROLOGIA</t>
  </si>
  <si>
    <t>N40.X</t>
  </si>
  <si>
    <t>LUIS CHAVESTA CARRION</t>
  </si>
  <si>
    <t>I86.3</t>
  </si>
  <si>
    <t>LUNA MEDINA CARLOS</t>
  </si>
  <si>
    <t>NEUROCIRUGIA</t>
  </si>
  <si>
    <t>M51.1</t>
  </si>
  <si>
    <t>´07482707</t>
  </si>
  <si>
    <t>´07642748</t>
  </si>
  <si>
    <t>4M</t>
  </si>
  <si>
    <t>1MT</t>
  </si>
  <si>
    <t>LOVON ARBAYZA FRANCISCO</t>
  </si>
  <si>
    <t>O9618200</t>
  </si>
  <si>
    <t>S83.2</t>
  </si>
  <si>
    <t>2MT</t>
  </si>
  <si>
    <t>RAMIREZ RICOPA DANY</t>
  </si>
  <si>
    <t>S62.5</t>
  </si>
  <si>
    <t>3MT</t>
  </si>
  <si>
    <t>PASTOR MYREZ HENRI</t>
  </si>
  <si>
    <t>M17.0</t>
  </si>
  <si>
    <t>T</t>
  </si>
  <si>
    <t>OTORRINOLARINGOLOGÍA</t>
  </si>
  <si>
    <t>VARGAS NARRO WILLIAM</t>
  </si>
  <si>
    <t>CIRUGIA CARDIOVASCULAR</t>
  </si>
  <si>
    <t>I73.9</t>
  </si>
  <si>
    <t>CORREA TINEO SANTOS</t>
  </si>
  <si>
    <t>K80.1</t>
  </si>
  <si>
    <t>HUILLCA NUÑEZ LISBETH</t>
  </si>
  <si>
    <t>E66.9</t>
  </si>
  <si>
    <t>S06.5</t>
  </si>
  <si>
    <t>K35.9</t>
  </si>
  <si>
    <t>DR VARGAS NARRO</t>
  </si>
  <si>
    <t>CX CARDIOVASCULAR</t>
  </si>
  <si>
    <t>C22.1</t>
  </si>
  <si>
    <t>RENTERIA KONG DANNY</t>
  </si>
  <si>
    <t>M54.5</t>
  </si>
  <si>
    <t>OSCAR GAMARRA TEPE</t>
  </si>
  <si>
    <t>CARLOS PACHECO CAHUANA</t>
  </si>
  <si>
    <t>TRAUMATOLOGÍA</t>
  </si>
  <si>
    <t>M16.0</t>
  </si>
  <si>
    <t>M23.2</t>
  </si>
  <si>
    <t>JOSUE CORRALES</t>
  </si>
  <si>
    <t>OFTALMOLOGIA</t>
  </si>
  <si>
    <t>H25.1</t>
  </si>
  <si>
    <t>GN</t>
  </si>
  <si>
    <t>I</t>
  </si>
  <si>
    <t>U</t>
  </si>
  <si>
    <t>22.45</t>
  </si>
  <si>
    <t>1.35</t>
  </si>
  <si>
    <t>CIRUGIA</t>
  </si>
  <si>
    <t>20.41</t>
  </si>
  <si>
    <t>Z</t>
  </si>
  <si>
    <t>S62.6</t>
  </si>
  <si>
    <t>3.45</t>
  </si>
  <si>
    <t>VASQUEZ LLERENA MAGALI</t>
  </si>
  <si>
    <t>K80</t>
  </si>
  <si>
    <t>INFANTE LINARES DÉBORA</t>
  </si>
  <si>
    <t>CIRUGÍA GENERAL</t>
  </si>
  <si>
    <t>4MT</t>
  </si>
  <si>
    <t>OLAYA COPAJA VICENTE</t>
  </si>
  <si>
    <t>T74985453</t>
  </si>
  <si>
    <t>DRA URBINA AYUQUE FANNY/ DR INGA SALAZAR MARLON</t>
  </si>
  <si>
    <t>CARRASCO ESPINOZA CARLOS</t>
  </si>
  <si>
    <t>O6058099</t>
  </si>
  <si>
    <t>GINECOLOGIA Y OBSTETRICIA</t>
  </si>
  <si>
    <t>N81.0</t>
  </si>
  <si>
    <t>RUNCIMAN CHAVARRYY RENZO</t>
  </si>
  <si>
    <t>R10.1</t>
  </si>
  <si>
    <t>E88.9</t>
  </si>
  <si>
    <t>ROJAS PUQUIO CARLOS</t>
  </si>
  <si>
    <t>O9652446</t>
  </si>
  <si>
    <t>K80.9</t>
  </si>
  <si>
    <t>K81.0</t>
  </si>
  <si>
    <t>´08368969</t>
  </si>
  <si>
    <t>K40.2</t>
  </si>
  <si>
    <t>VILLEGAS VASQUEZ ALFREDO</t>
  </si>
  <si>
    <t>BASALDUA FLORES LUIS</t>
  </si>
  <si>
    <t>K43.5</t>
  </si>
  <si>
    <t>ZUÑIGA APAZA MARLENY</t>
  </si>
  <si>
    <t>LIZARRAGA FERRAND , MARCELO</t>
  </si>
  <si>
    <t>O9398424</t>
  </si>
  <si>
    <t>G56.0</t>
  </si>
  <si>
    <t>K56.9</t>
  </si>
  <si>
    <t>S06.9</t>
  </si>
  <si>
    <t>FELIX ZAPANA CALISAYA</t>
  </si>
  <si>
    <t>BLADIMIRO VASQUEZ RUBIO</t>
  </si>
  <si>
    <t>C61.X</t>
  </si>
  <si>
    <t>PACHECO SANCHEZ JAVIER</t>
  </si>
  <si>
    <t>GINECOLOGÍA Y OBSTETRICIA</t>
  </si>
  <si>
    <t>N85.0</t>
  </si>
  <si>
    <t>N81.9</t>
  </si>
  <si>
    <t>K65.9</t>
  </si>
  <si>
    <t>S80.85</t>
  </si>
  <si>
    <t>DR PAVEL ANTEZANA BENDEZU</t>
  </si>
  <si>
    <t>salud mental</t>
  </si>
  <si>
    <t>O8106498</t>
  </si>
  <si>
    <t>C49.2</t>
  </si>
  <si>
    <t>DRA URBINA AYUQUE FANNY</t>
  </si>
  <si>
    <t>p</t>
  </si>
  <si>
    <t>S41.8</t>
  </si>
  <si>
    <t>11::30</t>
  </si>
  <si>
    <t>ENRIQUE SAKAY PRADA</t>
  </si>
  <si>
    <t>CIRUGIA GENRAL</t>
  </si>
  <si>
    <t>K38</t>
  </si>
  <si>
    <t>MARLON INGA SALAZAR</t>
  </si>
  <si>
    <t>CIRUGIA PLASTICA</t>
  </si>
  <si>
    <t>D17.5</t>
  </si>
  <si>
    <t>PACHECO CAHUANA CARLOS</t>
  </si>
  <si>
    <t>JOSUE CORRALES SANTOS</t>
  </si>
  <si>
    <t>O9542215</t>
  </si>
  <si>
    <t>SANDOVAL VALVERDE LICHA</t>
  </si>
  <si>
    <t>Z35.9</t>
  </si>
  <si>
    <t>ZARE MORALES WILFREDO</t>
  </si>
  <si>
    <t>C91.0</t>
  </si>
  <si>
    <t>12:</t>
  </si>
  <si>
    <t>f</t>
  </si>
  <si>
    <t>J9510</t>
  </si>
  <si>
    <t>PEREZ PRADO WILSON</t>
  </si>
  <si>
    <t>O8936361</t>
  </si>
  <si>
    <t>O6291742</t>
  </si>
  <si>
    <t>DRA URBINA AYUQUE</t>
  </si>
  <si>
    <t>DR CARDENAS BRACAMONTE</t>
  </si>
  <si>
    <t>T61498187</t>
  </si>
  <si>
    <t>J34.3</t>
  </si>
  <si>
    <t>K40.1</t>
  </si>
  <si>
    <t>K64</t>
  </si>
  <si>
    <t>GUTIERREZ ROSA ÁLVARO</t>
  </si>
  <si>
    <t>K40.9</t>
  </si>
  <si>
    <t>ORBEGOZO FLORES KARINA</t>
  </si>
  <si>
    <t>M65.1</t>
  </si>
  <si>
    <t>RUNCIMAN CHAVARRY RENZO</t>
  </si>
  <si>
    <t>N83.2</t>
  </si>
  <si>
    <t>S62.2</t>
  </si>
  <si>
    <t>DR.PAVEL ANTEZANA BENDEZÚ</t>
  </si>
  <si>
    <t>´09145142</t>
  </si>
  <si>
    <t>WILSON PEREZ PRADO</t>
  </si>
  <si>
    <t>Z96.6</t>
  </si>
  <si>
    <t>8:.30</t>
  </si>
  <si>
    <t>SILVA CHAMORRO JHON</t>
  </si>
  <si>
    <t>S42.0</t>
  </si>
  <si>
    <t>K.64</t>
  </si>
  <si>
    <t>OTORINOLARINGOLOGIA</t>
  </si>
  <si>
    <t>15.41</t>
  </si>
  <si>
    <t>19.15</t>
  </si>
  <si>
    <t>I71.4</t>
  </si>
  <si>
    <t>ALFREDO VILLEGAS VASQUEZ</t>
  </si>
  <si>
    <t>C18.3</t>
  </si>
  <si>
    <t>k80.1</t>
  </si>
  <si>
    <t>O9652447</t>
  </si>
  <si>
    <t>R10.0</t>
  </si>
  <si>
    <t>DR ZAPANA CALIZAYA FELIX</t>
  </si>
  <si>
    <t>MT</t>
  </si>
  <si>
    <t>N93.9</t>
  </si>
  <si>
    <t>S42.3</t>
  </si>
  <si>
    <t>MARCO VASQUEZ MORALES</t>
  </si>
  <si>
    <t>O9478791</t>
  </si>
  <si>
    <t>N20.1</t>
  </si>
  <si>
    <t>INFANTE LINARES DEBORA</t>
  </si>
  <si>
    <t>O9186407</t>
  </si>
  <si>
    <t>O6572385</t>
  </si>
  <si>
    <t>H40.1</t>
  </si>
  <si>
    <t>FLORES ADRIANZEN ANGELA</t>
  </si>
  <si>
    <t>K42.9</t>
  </si>
  <si>
    <t>7"267073</t>
  </si>
  <si>
    <t>M23.0</t>
  </si>
  <si>
    <t>VARGAS  NARRO</t>
  </si>
  <si>
    <t>FANNY URBINA AYUQUE</t>
  </si>
  <si>
    <t>GINECOLOGIA Y OOBSTETRICIA</t>
  </si>
  <si>
    <t>O02.1</t>
  </si>
  <si>
    <t>HERBERT OLAYA COPAJA</t>
  </si>
  <si>
    <t>c44.3</t>
  </si>
  <si>
    <t>y</t>
  </si>
  <si>
    <t>CIRUGIA PLSTICA</t>
  </si>
  <si>
    <t>M24.2</t>
  </si>
  <si>
    <t>M48.0</t>
  </si>
  <si>
    <t>O8468249</t>
  </si>
  <si>
    <t>C62.0</t>
  </si>
  <si>
    <t>O9978791</t>
  </si>
  <si>
    <t>K80.0</t>
  </si>
  <si>
    <t>0.45</t>
  </si>
  <si>
    <t>3.35</t>
  </si>
  <si>
    <t>DR WILSON PEREZ</t>
  </si>
  <si>
    <t>D17.9</t>
  </si>
  <si>
    <t>8.25</t>
  </si>
  <si>
    <t>9.45</t>
  </si>
  <si>
    <t>VERA RIVERA DAYANA</t>
  </si>
  <si>
    <t>D75.1</t>
  </si>
  <si>
    <t>D48.4</t>
  </si>
  <si>
    <t>REYES RUPA RENZO</t>
  </si>
  <si>
    <t>S82.1</t>
  </si>
  <si>
    <t>K35.6</t>
  </si>
  <si>
    <t>K42.0</t>
  </si>
  <si>
    <t>CHOQUECHAMBI ROMERO DINO</t>
  </si>
  <si>
    <t>K56</t>
  </si>
  <si>
    <t>Z34.9</t>
  </si>
  <si>
    <t>VENTURA MANTILLA SOLANGE</t>
  </si>
  <si>
    <t>CIRUGIA DE CABEZA Y CUELLO</t>
  </si>
  <si>
    <t>R59.9</t>
  </si>
  <si>
    <t>C73</t>
  </si>
  <si>
    <t>C18.5</t>
  </si>
  <si>
    <t>3T</t>
  </si>
  <si>
    <t>CENTURION TORRES WALTER</t>
  </si>
  <si>
    <t>OTORRINOLARINGOLGIA</t>
  </si>
  <si>
    <t>J35.1</t>
  </si>
  <si>
    <t>O7300599</t>
  </si>
  <si>
    <t>;60440290</t>
  </si>
  <si>
    <t>S43.0</t>
  </si>
  <si>
    <t>DR PEREZ PRADO WILSON</t>
  </si>
  <si>
    <t>FELIX ZAPANA</t>
  </si>
  <si>
    <t>O806498</t>
  </si>
  <si>
    <t>DR RENTERIA KONG DANNY</t>
  </si>
  <si>
    <t>BURGOS ESPEJO EDGARS</t>
  </si>
  <si>
    <t>O6672559</t>
  </si>
  <si>
    <t>DR. JUAN ZEGARRA</t>
  </si>
  <si>
    <t>GINECOLOGIA</t>
  </si>
  <si>
    <t>O44.0</t>
  </si>
  <si>
    <t>DR BLADIMIRO VASQUEZ RUBIO</t>
  </si>
  <si>
    <t>C64.0</t>
  </si>
  <si>
    <t>8;30</t>
  </si>
  <si>
    <t>KAWAKAMI CARRASCO JACKELINE SUSAN</t>
  </si>
  <si>
    <t>M67.4</t>
  </si>
  <si>
    <t>K81.</t>
  </si>
  <si>
    <t>O9882236</t>
  </si>
  <si>
    <t>RIVERA HERRERA RAFAEL</t>
  </si>
  <si>
    <t>B67.1</t>
  </si>
  <si>
    <t>K42. 0</t>
  </si>
  <si>
    <t>13:3</t>
  </si>
  <si>
    <t>D17. 1</t>
  </si>
  <si>
    <t>K42. 9</t>
  </si>
  <si>
    <t>S82.6</t>
  </si>
  <si>
    <t>S82.0</t>
  </si>
  <si>
    <t>K35</t>
  </si>
  <si>
    <t>4.51</t>
  </si>
  <si>
    <t>6.41</t>
  </si>
  <si>
    <t>GARCIA DE LOS RIOS DANTE</t>
  </si>
  <si>
    <t>O20.0</t>
  </si>
  <si>
    <t>DR MARLON INGA</t>
  </si>
  <si>
    <t>C44.7</t>
  </si>
  <si>
    <t>S72.0</t>
  </si>
  <si>
    <t>TRAUMATOLTOGIA</t>
  </si>
  <si>
    <t>S86.0</t>
  </si>
  <si>
    <t>Cirugía general</t>
  </si>
  <si>
    <t>K80.10</t>
  </si>
  <si>
    <t>47562)</t>
  </si>
  <si>
    <t>O9883162</t>
  </si>
  <si>
    <t>S68.0</t>
  </si>
  <si>
    <t>DR RIVERA HERRERA RAFAERL</t>
  </si>
  <si>
    <t>10.41</t>
  </si>
  <si>
    <t>K60.3</t>
  </si>
  <si>
    <t>9.55</t>
  </si>
  <si>
    <t>D24</t>
  </si>
  <si>
    <t>SO</t>
  </si>
  <si>
    <t>K45.0</t>
  </si>
  <si>
    <t>MUÑOZ JURADO MARTIN</t>
  </si>
  <si>
    <t>O7476062</t>
  </si>
  <si>
    <t>Z34.0</t>
  </si>
  <si>
    <t>FERNANDEZ CHAFLOQUE FERNANDO</t>
  </si>
  <si>
    <t>M71.3</t>
  </si>
  <si>
    <t>UBIGEO</t>
  </si>
  <si>
    <t>M: MAÑANA
T: TARDE</t>
  </si>
  <si>
    <t>01: MEDICO
02: ODONTOLOGO
03: PSICOLOGO
04: OBSTETRA
05: LIC ENFERMERIA
06: TÉC ENFERMERIA  
07: AUX ENFERMERIA
08:  SERVIDOR PROF DE SALUD 
09:  ASISTENTE SOCIAL
10: OTROS</t>
  </si>
  <si>
    <t>M: MILITAR
C: CIVIL
S: SERUM</t>
  </si>
  <si>
    <t>CODIGO DE PERSONAL DE SALUD</t>
  </si>
  <si>
    <t>CODIGO DE ESPEC REFERENCIA TABLA 1</t>
  </si>
  <si>
    <t>DNI MED</t>
  </si>
  <si>
    <t>UNIDAD DONDE PRESTA SERVICIO EL PACIENTE</t>
  </si>
  <si>
    <t>SOLO EN EN CASO QUE EL PACIENTE SEA FAMILIAR</t>
  </si>
  <si>
    <r>
      <t xml:space="preserve">Código según </t>
    </r>
    <r>
      <rPr>
        <b/>
        <sz val="10"/>
        <color rgb="FFFF0000"/>
        <rFont val="Arial"/>
        <family val="2"/>
        <scheme val="minor"/>
      </rPr>
      <t>Tabla 1</t>
    </r>
  </si>
  <si>
    <t>Número sin decimales ni separador de miles.</t>
  </si>
  <si>
    <t>Código según Tabla 2</t>
  </si>
  <si>
    <t>P: PRESUNTIVO
D: DEFINITIVO
R: REPETITIVO</t>
  </si>
  <si>
    <r>
      <t xml:space="preserve">Código según </t>
    </r>
    <r>
      <rPr>
        <b/>
        <sz val="10"/>
        <color rgb="FFFF0000"/>
        <rFont val="Arial"/>
        <family val="2"/>
        <scheme val="minor"/>
      </rPr>
      <t>Tabla 2</t>
    </r>
  </si>
  <si>
    <t>Código según CATALOGO                                                                                   CPT</t>
  </si>
  <si>
    <t>CODIGO</t>
  </si>
  <si>
    <t>ESPECIFIQUE OTROS</t>
  </si>
  <si>
    <t>CONDICIÓN DEL PERSONAL DE SALUD</t>
  </si>
  <si>
    <t>NOMBRE DEL MEDICO / PERSONAL DE SALUD TRATANTE</t>
  </si>
  <si>
    <t>ESPECIALIDAD DE MEDICO TRATANTE</t>
  </si>
  <si>
    <t>UNIDAD DE ORIGEN</t>
  </si>
  <si>
    <t>DNI DEL TITULAR</t>
  </si>
  <si>
    <t>Especialidad (CATALOGO ESPECIALIDADES)</t>
  </si>
  <si>
    <t>Edad</t>
  </si>
  <si>
    <t>Sexo</t>
  </si>
  <si>
    <t>Grupo</t>
  </si>
  <si>
    <t>Situación</t>
  </si>
  <si>
    <t>DIAGNOSTICO 2 (CIE 10)</t>
  </si>
  <si>
    <t>DIAGNOSTICO 3 (CIE 10)</t>
  </si>
  <si>
    <t>PROCEDIMIENTO   (CPT)</t>
  </si>
  <si>
    <t>PROCEDIMIENTO   (CPT) OPCIONAL</t>
  </si>
  <si>
    <t>SF113</t>
  </si>
  <si>
    <t>MEDICO</t>
  </si>
  <si>
    <t>M.CIRUJANO</t>
  </si>
  <si>
    <t>040000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</si>
</sst>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\-mmm\-yyyy"/>
    <numFmt numFmtId="165" formatCode="d&quot;-&quot;mmm&quot;-&quot;yyyy"/>
    <numFmt numFmtId="166" formatCode="h&quot;:&quot;mm"/>
    <numFmt numFmtId="167" formatCode="d\.m"/>
    <numFmt numFmtId="168" formatCode="d\ mmm"/>
    <numFmt numFmtId="169" formatCode="dd\.mm"/>
    <numFmt numFmtId="170" formatCode="d/m"/>
    <numFmt numFmtId="171" formatCode="00000000"/>
  </numFmts>
  <fonts count="2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3"/>
      <color theme="1"/>
      <name val="Arial"/>
      <scheme val="minor"/>
    </font>
    <font>
      <b/>
      <sz val="13"/>
      <color theme="1"/>
      <name val="Calibri"/>
    </font>
    <font>
      <b/>
      <sz val="13"/>
      <color theme="1"/>
      <name val="Arial"/>
    </font>
    <font>
      <b/>
      <sz val="14"/>
      <color theme="1"/>
      <name val="Calibri"/>
    </font>
    <font>
      <sz val="10"/>
      <color theme="1"/>
      <name val="Arial"/>
    </font>
    <font>
      <u/>
      <sz val="10"/>
      <color theme="10"/>
      <name val="Arial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Century Gothic"/>
      <family val="2"/>
    </font>
    <font>
      <sz val="9"/>
      <color theme="1"/>
      <name val="Arial"/>
      <family val="2"/>
      <scheme val="minor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" fillId="0" borderId="0"/>
  </cellStyleXfs>
  <cellXfs count="86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textRotation="90"/>
    </xf>
    <xf numFmtId="0" fontId="2" fillId="0" borderId="1" xfId="0" applyFont="1" applyBorder="1" applyAlignment="1">
      <alignment horizontal="left" textRotation="90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textRotation="90" wrapText="1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left" textRotation="90" wrapText="1"/>
    </xf>
    <xf numFmtId="0" fontId="2" fillId="3" borderId="1" xfId="0" applyFont="1" applyFill="1" applyBorder="1" applyAlignment="1">
      <alignment horizontal="center" textRotation="90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textRotation="90" wrapText="1"/>
    </xf>
    <xf numFmtId="49" fontId="2" fillId="2" borderId="1" xfId="0" applyNumberFormat="1" applyFont="1" applyFill="1" applyBorder="1" applyAlignment="1">
      <alignment horizontal="center" textRotation="90" wrapText="1"/>
    </xf>
    <xf numFmtId="49" fontId="2" fillId="2" borderId="1" xfId="0" applyNumberFormat="1" applyFont="1" applyFill="1" applyBorder="1" applyAlignment="1">
      <alignment wrapText="1"/>
    </xf>
    <xf numFmtId="49" fontId="2" fillId="2" borderId="1" xfId="0" applyNumberFormat="1" applyFont="1" applyFill="1" applyBorder="1" applyAlignment="1">
      <alignment horizontal="left" textRotation="90" wrapText="1"/>
    </xf>
    <xf numFmtId="0" fontId="4" fillId="0" borderId="1" xfId="0" applyFont="1" applyBorder="1"/>
    <xf numFmtId="49" fontId="2" fillId="2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/>
    <xf numFmtId="0" fontId="4" fillId="0" borderId="4" xfId="0" applyFont="1" applyBorder="1"/>
    <xf numFmtId="0" fontId="2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textRotation="90" wrapText="1"/>
    </xf>
    <xf numFmtId="0" fontId="2" fillId="3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64" fontId="4" fillId="0" borderId="0" xfId="0" applyNumberFormat="1" applyFont="1"/>
    <xf numFmtId="0" fontId="4" fillId="0" borderId="0" xfId="0" applyFont="1"/>
    <xf numFmtId="49" fontId="4" fillId="0" borderId="0" xfId="0" applyNumberFormat="1" applyFont="1"/>
    <xf numFmtId="165" fontId="4" fillId="0" borderId="0" xfId="0" applyNumberFormat="1" applyFont="1"/>
    <xf numFmtId="20" fontId="4" fillId="0" borderId="0" xfId="0" applyNumberFormat="1" applyFont="1"/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1" fontId="7" fillId="4" borderId="7" xfId="0" applyNumberFormat="1" applyFont="1" applyFill="1" applyBorder="1" applyAlignment="1">
      <alignment horizontal="center"/>
    </xf>
    <xf numFmtId="1" fontId="6" fillId="4" borderId="7" xfId="0" applyNumberFormat="1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166" fontId="4" fillId="0" borderId="0" xfId="0" applyNumberFormat="1" applyFont="1"/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1" fontId="7" fillId="4" borderId="9" xfId="0" applyNumberFormat="1" applyFont="1" applyFill="1" applyBorder="1" applyAlignment="1">
      <alignment horizontal="center"/>
    </xf>
    <xf numFmtId="1" fontId="6" fillId="4" borderId="9" xfId="0" applyNumberFormat="1" applyFont="1" applyFill="1" applyBorder="1" applyAlignment="1">
      <alignment horizontal="center"/>
    </xf>
    <xf numFmtId="20" fontId="9" fillId="0" borderId="9" xfId="0" applyNumberFormat="1" applyFont="1" applyBorder="1"/>
    <xf numFmtId="0" fontId="7" fillId="0" borderId="9" xfId="0" applyFont="1" applyBorder="1" applyAlignment="1">
      <alignment horizontal="center"/>
    </xf>
    <xf numFmtId="3" fontId="4" fillId="0" borderId="0" xfId="0" applyNumberFormat="1" applyFont="1"/>
    <xf numFmtId="167" fontId="4" fillId="0" borderId="0" xfId="0" applyNumberFormat="1" applyFont="1"/>
    <xf numFmtId="168" fontId="4" fillId="0" borderId="0" xfId="0" applyNumberFormat="1" applyFont="1"/>
    <xf numFmtId="169" fontId="4" fillId="0" borderId="0" xfId="0" applyNumberFormat="1" applyFont="1"/>
    <xf numFmtId="4" fontId="4" fillId="0" borderId="0" xfId="0" applyNumberFormat="1" applyFont="1"/>
    <xf numFmtId="170" fontId="4" fillId="0" borderId="0" xfId="0" applyNumberFormat="1" applyFont="1"/>
    <xf numFmtId="0" fontId="11" fillId="5" borderId="10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textRotation="90" wrapText="1"/>
    </xf>
    <xf numFmtId="0" fontId="12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textRotation="90" wrapText="1"/>
    </xf>
    <xf numFmtId="0" fontId="11" fillId="0" borderId="10" xfId="0" applyFont="1" applyBorder="1" applyAlignment="1">
      <alignment horizontal="center" vertical="center" wrapText="1"/>
    </xf>
    <xf numFmtId="171" fontId="11" fillId="5" borderId="10" xfId="0" applyNumberFormat="1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textRotation="90" wrapText="1"/>
    </xf>
    <xf numFmtId="0" fontId="13" fillId="7" borderId="10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left" textRotation="90" wrapText="1"/>
    </xf>
    <xf numFmtId="0" fontId="13" fillId="7" borderId="10" xfId="0" applyFont="1" applyFill="1" applyBorder="1" applyAlignment="1">
      <alignment horizontal="left" wrapText="1"/>
    </xf>
    <xf numFmtId="0" fontId="13" fillId="7" borderId="10" xfId="0" applyFont="1" applyFill="1" applyBorder="1" applyAlignment="1">
      <alignment horizontal="center" textRotation="90" wrapText="1"/>
    </xf>
    <xf numFmtId="0" fontId="13" fillId="5" borderId="10" xfId="1" applyFont="1" applyFill="1" applyBorder="1" applyAlignment="1">
      <alignment horizontal="center" textRotation="90" wrapText="1"/>
    </xf>
    <xf numFmtId="0" fontId="13" fillId="7" borderId="10" xfId="1" applyFont="1" applyFill="1" applyBorder="1" applyAlignment="1">
      <alignment horizontal="center" textRotation="90" wrapText="1"/>
    </xf>
    <xf numFmtId="0" fontId="11" fillId="5" borderId="10" xfId="1" applyFont="1" applyFill="1" applyBorder="1" applyAlignment="1">
      <alignment horizontal="center" vertical="center" textRotation="90" wrapText="1"/>
    </xf>
    <xf numFmtId="0" fontId="15" fillId="0" borderId="10" xfId="1" applyFont="1" applyFill="1" applyBorder="1" applyAlignment="1">
      <alignment horizontal="center" vertical="center" textRotation="90" wrapText="1"/>
    </xf>
    <xf numFmtId="0" fontId="16" fillId="0" borderId="10" xfId="0" applyFont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171" fontId="0" fillId="0" borderId="10" xfId="0" applyNumberFormat="1" applyBorder="1"/>
    <xf numFmtId="0" fontId="0" fillId="0" borderId="10" xfId="0" applyBorder="1"/>
    <xf numFmtId="49" fontId="17" fillId="0" borderId="10" xfId="0" applyNumberFormat="1" applyFont="1" applyBorder="1" applyAlignment="1">
      <alignment horizontal="center"/>
    </xf>
    <xf numFmtId="0" fontId="18" fillId="5" borderId="11" xfId="0" applyFont="1" applyFill="1" applyBorder="1" applyAlignment="1">
      <alignment horizontal="center" vertical="center" wrapText="1"/>
    </xf>
    <xf numFmtId="0" fontId="18" fillId="0" borderId="12" xfId="0" applyFont="1" applyBorder="1"/>
    <xf numFmtId="0" fontId="18" fillId="0" borderId="12" xfId="0" applyFont="1" applyBorder="1" applyAlignment="1">
      <alignment horizontal="center" vertical="center" wrapText="1"/>
    </xf>
    <xf numFmtId="0" fontId="16" fillId="0" borderId="0" xfId="0" applyFont="1"/>
    <xf numFmtId="0" fontId="13" fillId="7" borderId="10" xfId="0" applyFont="1" applyFill="1" applyBorder="1" applyAlignment="1">
      <alignment horizontal="center" vertical="center" textRotation="90" wrapText="1"/>
    </xf>
    <xf numFmtId="0" fontId="11" fillId="5" borderId="10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textRotation="90" wrapText="1"/>
    </xf>
    <xf numFmtId="0" fontId="4" fillId="0" borderId="0" xfId="0" applyNumberFormat="1" applyFont="1"/>
  </cellXfs>
  <cellStyles count="3">
    <cellStyle name="Hipervínculo" xfId="1" builtinId="8"/>
    <cellStyle name="Normal" xfId="0" builtinId="0"/>
    <cellStyle name="Normal 2 10" xfId="2" xr:uid="{E94802A9-9836-4687-B657-CA4FC2C2C1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STADISTICA%202025\CATALOGOS%20SUSALUD\UPS%20-%20Unidad%20Productora%20de%20Servicios-SETIIPRESS_04_08_2021%20(1).xlsx" TargetMode="External"/><Relationship Id="rId1" Type="http://schemas.openxmlformats.org/officeDocument/2006/relationships/externalLinkPath" Target="/ESTADISTICA%202025/CATALOGOS%20SUSALUD/UPS%20-%20Unidad%20Productora%20de%20Servicios-SETIIPRESS_04_08_202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S_SETIIPRESS"/>
    </sheetNames>
    <sheetDataSet>
      <sheetData sheetId="0" refreshError="1">
        <row r="2">
          <cell r="A2" t="str">
            <v>220907</v>
          </cell>
          <cell r="B2" t="str">
            <v>CONSULTA EXTERNA NEUROCIRUGÍA CIRUGIA VASCULAR CEREBRAL</v>
          </cell>
        </row>
        <row r="3">
          <cell r="A3" t="str">
            <v>220910</v>
          </cell>
          <cell r="B3" t="str">
            <v>CONSULTA EXTERNA NEUROCIRUGÍA CIRUGIA TUMORES CEREBRALES</v>
          </cell>
        </row>
        <row r="4">
          <cell r="A4" t="str">
            <v>220905</v>
          </cell>
          <cell r="B4" t="str">
            <v>CONSULTA EXTERNA NEUROCIRUGÍA NEUROCIRUGIA DE BASE DE CRANEO Y ENDOCIRUGIA</v>
          </cell>
        </row>
        <row r="5">
          <cell r="A5" t="str">
            <v>220906</v>
          </cell>
          <cell r="B5" t="str">
            <v>CONSULTA EXTERNA NEUROCIRUGÍA NEUROCIRUGIA FUNCIONAL EPILEPSIA, MOVIMIENTOS INVOLUNTARIOS, DOLOR</v>
          </cell>
        </row>
        <row r="6">
          <cell r="A6" t="str">
            <v>220908</v>
          </cell>
          <cell r="B6" t="str">
            <v>CONSULTA EXTERNA NEUROCIRUGÍA NEUROCIRUGIA ENDOVASCULAR</v>
          </cell>
        </row>
        <row r="7">
          <cell r="A7" t="str">
            <v>220904</v>
          </cell>
          <cell r="B7" t="str">
            <v>CONSULTA EXTERNA NEUROCIRUGÍA CIRUGIA DE COLUMNA VERTEBRAL Y NERVIOS PERIFERICOS</v>
          </cell>
        </row>
        <row r="8">
          <cell r="A8" t="str">
            <v>220911</v>
          </cell>
          <cell r="B8" t="str">
            <v>CONSULTA EXTERNA NEUROCIRUGÍA NEUROANESTESIOLOGIA</v>
          </cell>
        </row>
        <row r="9">
          <cell r="A9" t="str">
            <v>223907</v>
          </cell>
          <cell r="B9" t="str">
            <v>CONSULTA EXTERNA NEUROLOGIA ENFERMEDADES NEURODEGENERATIVAS</v>
          </cell>
        </row>
        <row r="10">
          <cell r="A10" t="str">
            <v>223909</v>
          </cell>
          <cell r="B10" t="str">
            <v>CONSULTA EXTERNA NEUROLOGIA NEUROGENETICA</v>
          </cell>
        </row>
        <row r="11">
          <cell r="A11" t="str">
            <v>223908</v>
          </cell>
          <cell r="B11" t="str">
            <v>CONSULTA EXTERNA NEUROLOGIA ENFERMEDADES NEUROVASCULARES Y METABOLICAS</v>
          </cell>
        </row>
        <row r="12">
          <cell r="A12" t="str">
            <v>223906</v>
          </cell>
          <cell r="B12" t="str">
            <v>CONSULTA EXTERNA NEUROLOGIA EPILEPSIA EPILEPTOLOGIA</v>
          </cell>
        </row>
        <row r="13">
          <cell r="A13" t="str">
            <v>223910</v>
          </cell>
          <cell r="B13" t="str">
            <v>CONSULTA EXTERNA NEUROLOGIA ENFERMEDADES TRANSMISIBLES DEL SISTEMA NERVIOSO</v>
          </cell>
        </row>
        <row r="14">
          <cell r="A14" t="str">
            <v>223902</v>
          </cell>
          <cell r="B14" t="str">
            <v>CONSULTA EXTERNA NEUROLOGIA NEUROLOGIA DE LA CONDUCTA</v>
          </cell>
        </row>
        <row r="15">
          <cell r="A15" t="str">
            <v>223903</v>
          </cell>
          <cell r="B15" t="str">
            <v>CONSULTA EXTERNA NEUROLOGIA ESPECIALIDADES MEDICAS (DE APOYO DIAGNOSTICO Y TERAPEUTICO AL PACIENTE)</v>
          </cell>
        </row>
        <row r="16">
          <cell r="A16" t="str">
            <v>150900</v>
          </cell>
          <cell r="B16" t="str">
            <v xml:space="preserve">PATOLOGIA CLINICA NEUROPATOLOGIA </v>
          </cell>
        </row>
        <row r="17">
          <cell r="A17" t="str">
            <v>150901</v>
          </cell>
          <cell r="B17" t="str">
            <v>PATOLOGIA CLINICA PATOLOGIA CLINICA NEUROGENETICA</v>
          </cell>
        </row>
        <row r="18">
          <cell r="A18" t="str">
            <v>080401</v>
          </cell>
          <cell r="B18" t="str">
            <v>DIAGNOSTICO POR IMÁGENES RADIODIAGNOSTICO RAYOS X NEURORADIOLOGIA</v>
          </cell>
        </row>
        <row r="19">
          <cell r="A19" t="str">
            <v>110600</v>
          </cell>
          <cell r="B19" t="str">
            <v>FARMACIA FARMACOTECNIA</v>
          </cell>
        </row>
        <row r="20">
          <cell r="A20" t="str">
            <v>241500</v>
          </cell>
          <cell r="B20" t="str">
            <v xml:space="preserve">HOSPITALIZACIÓN QUIRÚRGICA GINECOLOGÍA  </v>
          </cell>
        </row>
        <row r="21">
          <cell r="A21" t="str">
            <v>241600</v>
          </cell>
          <cell r="B21" t="str">
            <v xml:space="preserve">HOSPITALIZACIÓN QUIRÚRGICA OBSTETRICIA   </v>
          </cell>
        </row>
        <row r="22">
          <cell r="A22" t="str">
            <v>241700</v>
          </cell>
          <cell r="B22" t="str">
            <v>HOSPITALIZACIÓN QUIRÚRGICA GINECOLOGÍA   GINECOLOGIA ONCOLOGiCA</v>
          </cell>
        </row>
        <row r="23">
          <cell r="A23" t="str">
            <v>241800</v>
          </cell>
          <cell r="B23" t="str">
            <v xml:space="preserve">HOSPITALIZACIÓN DE MEDICINA MEDICINA GENERAL </v>
          </cell>
        </row>
        <row r="24">
          <cell r="A24" t="str">
            <v>241900</v>
          </cell>
          <cell r="B24" t="str">
            <v xml:space="preserve">HOSPITALIZACIÓN DE MEDICINA MEDICINA INTERNA </v>
          </cell>
        </row>
        <row r="25">
          <cell r="A25" t="str">
            <v>242000</v>
          </cell>
          <cell r="B25" t="str">
            <v xml:space="preserve">HOSPITALIZACIÓN DE MEDICINA MEDICINA TROPICAL E INFECCIOSAS </v>
          </cell>
        </row>
        <row r="26">
          <cell r="A26" t="str">
            <v>242100</v>
          </cell>
          <cell r="B26" t="str">
            <v xml:space="preserve">HOSPITALIZACIÓN DE MEDICINA ONCOLOGÍA MÉDICA </v>
          </cell>
        </row>
        <row r="27">
          <cell r="A27" t="str">
            <v>242201</v>
          </cell>
          <cell r="B27" t="str">
            <v>HOSPITALIZACIÓN DE MEDICINA PSIQUIATRÍA PSIQUIATRÍA - HOSPITALIZACIÓN DE DÍA</v>
          </cell>
        </row>
        <row r="28">
          <cell r="A28" t="str">
            <v>242202</v>
          </cell>
          <cell r="B28" t="str">
            <v>HOSPITALIZACIÓN DE MEDICINA PSIQUIATRÍA PSIQUIATRÍA DEL ADULTO Y GERONTE</v>
          </cell>
        </row>
        <row r="29">
          <cell r="A29" t="str">
            <v>242203</v>
          </cell>
          <cell r="B29" t="str">
            <v>HOSPITALIZACIÓN DE MEDICINA PSIQUIATRÍA PSIQUIATRÍA DEL NIÑO Y DEL ADOLESCENTE</v>
          </cell>
        </row>
        <row r="30">
          <cell r="A30" t="str">
            <v>242204</v>
          </cell>
          <cell r="B30" t="str">
            <v xml:space="preserve">HOSPITALIZACIÓN DE MEDICINA PSIQUIATRÍA REHABILITACIÓN PSIQUIÁTRICA / REINSERCIÓN </v>
          </cell>
        </row>
        <row r="31">
          <cell r="A31" t="str">
            <v>242300</v>
          </cell>
          <cell r="B31" t="str">
            <v xml:space="preserve">HOSPITALIZACIÓN DE PEDIATRÍA  PEDIATRÍA  GENERAL </v>
          </cell>
        </row>
        <row r="32">
          <cell r="A32" t="str">
            <v>242400</v>
          </cell>
          <cell r="B32" t="str">
            <v xml:space="preserve">HOSPITALIZACIÓN DE PEDIATRÍA ADOLESCENTES </v>
          </cell>
        </row>
        <row r="33">
          <cell r="A33" t="str">
            <v>242500</v>
          </cell>
          <cell r="B33" t="str">
            <v>HOSPITALIZACIÓN-PEDIATRÍA GENERAL-</v>
          </cell>
        </row>
        <row r="34">
          <cell r="A34" t="str">
            <v>242600</v>
          </cell>
          <cell r="B34" t="str">
            <v>HOSPITALIZACIÓN DE PEDIATRÍA PEDIATRIA CARDIOLOGÍA PEDIÁTRICA</v>
          </cell>
        </row>
        <row r="35">
          <cell r="A35" t="str">
            <v>242700</v>
          </cell>
          <cell r="B35" t="str">
            <v>HOSPITALIZACIÓN DE PEDIATRÍA PEDIATRIA DERMATOLOGÍA PEDIÁTRICA</v>
          </cell>
        </row>
        <row r="36">
          <cell r="A36" t="str">
            <v>242800</v>
          </cell>
          <cell r="B36" t="str">
            <v>HOSPITALIZACIÓN DE PEDIATRÍA PEDIATRIA ENDOCRINOLOGÍA PEDIÁTRICA</v>
          </cell>
        </row>
        <row r="37">
          <cell r="A37" t="str">
            <v>242900</v>
          </cell>
          <cell r="B37" t="str">
            <v>HOSPITALIZACIÓN DE PEDIATRÍA PEDIATRIA GASTROENTEROLOGÍA PEDIÁTRICA</v>
          </cell>
        </row>
        <row r="38">
          <cell r="A38" t="str">
            <v>243000</v>
          </cell>
          <cell r="B38" t="str">
            <v>HOSPITALIZACIÓN DE PEDIATRÍA PEDIATRIA GINECOLOGÍA PEDIÁTRICA</v>
          </cell>
        </row>
        <row r="39">
          <cell r="A39" t="str">
            <v>243100</v>
          </cell>
          <cell r="B39" t="str">
            <v>HOSPITALIZACIÓN DE PEDIATRÍA PEDIATRIA NEFROLOGÍA PEDIÁTRICA</v>
          </cell>
        </row>
        <row r="40">
          <cell r="A40" t="str">
            <v>243200</v>
          </cell>
          <cell r="B40" t="str">
            <v>HOSPITALIZACIÓN DE PEDIATRÍA PEDIATRIA NEONATOLOGÍA</v>
          </cell>
        </row>
        <row r="41">
          <cell r="A41" t="str">
            <v>243300</v>
          </cell>
          <cell r="B41" t="str">
            <v>HOSPITALIZACIÓN DE PEDIATRÍA PEDIATRIA NEUMOLOGÍA PEDIÁTRICA</v>
          </cell>
        </row>
        <row r="42">
          <cell r="A42" t="str">
            <v>243400</v>
          </cell>
          <cell r="B42" t="str">
            <v>HOSPITALIZACIÓN DE PEDIATRÍA PEDIATRIA NEUROLOGÍA PEDIÁTRICA</v>
          </cell>
        </row>
        <row r="43">
          <cell r="A43" t="str">
            <v>243500</v>
          </cell>
          <cell r="B43" t="str">
            <v>HOSPITALIZACIÓN DE PEDIATRÍA PEDIATRIA OFTALMOLOGÍA PEDIÁTRICA</v>
          </cell>
        </row>
        <row r="44">
          <cell r="A44" t="str">
            <v>243600</v>
          </cell>
          <cell r="B44" t="str">
            <v>HOSPITALIZACIÓN DE PEDIATRÍA PEDIATRIA ONCOLOGÍA PEDIÁTRICA</v>
          </cell>
        </row>
        <row r="45">
          <cell r="A45" t="str">
            <v>243700</v>
          </cell>
          <cell r="B45" t="str">
            <v xml:space="preserve">HOSPITALIZACIÓN DE PEDIATRÍA PEDIATRIA OTORRINOLARINGOLOGÍA PEDIÁTRICA </v>
          </cell>
        </row>
        <row r="46">
          <cell r="A46" t="str">
            <v>243800</v>
          </cell>
          <cell r="B46" t="str">
            <v>HOSPITALIZACIÓN DE PEDIATRÍA PEDIATRIA PSIQUIATRÍA PEDIÁTRICA</v>
          </cell>
        </row>
        <row r="47">
          <cell r="A47" t="str">
            <v>243900</v>
          </cell>
          <cell r="B47" t="str">
            <v>HOSPITALIZACIÓN DE PEDIATRÍA PEDIATRIA REUMATOLOGÍA PEDIÁTRICA</v>
          </cell>
        </row>
        <row r="48">
          <cell r="A48" t="str">
            <v>250100</v>
          </cell>
          <cell r="B48" t="str">
            <v xml:space="preserve">UNIDAD DE CUIDADOS CRITICOS UNIDAD  DE CUIDADOS INTENSIVOS GENERALES (UCI) </v>
          </cell>
        </row>
        <row r="49">
          <cell r="A49" t="str">
            <v>250101</v>
          </cell>
          <cell r="B49" t="str">
            <v>UNIDAD DE CUIDADOS CRITICOS UNIDAD  DE CUIDADOS INTENSIVOS GENERALES (UCI) CARDIOLOGIA</v>
          </cell>
        </row>
        <row r="50">
          <cell r="A50" t="str">
            <v>250102</v>
          </cell>
          <cell r="B50" t="str">
            <v>UNIDAD DE CUIDADOS CRITICOS UNIDAD  DE CUIDADOS INTENSIVOS GENERALES (UCI) GINECO-OBSTETRICIA</v>
          </cell>
        </row>
        <row r="51">
          <cell r="A51" t="str">
            <v>250103</v>
          </cell>
          <cell r="B51" t="str">
            <v>UNIDAD DE CUIDADOS CRITICOS UNIDAD  DE CUIDADOS INTENSIVOS GENERALES  (UCI) MEDICINA</v>
          </cell>
        </row>
        <row r="52">
          <cell r="A52" t="str">
            <v>250104</v>
          </cell>
          <cell r="B52" t="str">
            <v>UNIDAD DE CUIDADOS CRITICOS UNIDAD  DE CUIDADOS INTENSIVOS GENERALES  (UCI) MEDICINA TROPICAL</v>
          </cell>
        </row>
        <row r="53">
          <cell r="A53" t="str">
            <v>250105</v>
          </cell>
          <cell r="B53" t="str">
            <v>UNIDAD DE CUIDADOS CRITICOS UNIDAD  DE CUIDADOS INTENSIVOS  (UCI) NEONATOLOGÍA</v>
          </cell>
        </row>
        <row r="54">
          <cell r="A54" t="str">
            <v>250106</v>
          </cell>
          <cell r="B54" t="str">
            <v>UNIDAD DE CUIDADOS CRITICOS UNIDAD  DE CUIDADOS INTENSIVOS  (UCI) NEUROLÓGICA</v>
          </cell>
        </row>
        <row r="55">
          <cell r="A55" t="str">
            <v>250107</v>
          </cell>
          <cell r="B55" t="str">
            <v>UNIDAD DE CUIDADOS CRITICOS UNIDAD  DE CUIDADOS INTENSIVOS  (UCI) NEUROQUIRÚRGICA</v>
          </cell>
        </row>
        <row r="56">
          <cell r="A56" t="str">
            <v>250108</v>
          </cell>
          <cell r="B56" t="str">
            <v>UNIDAD DE CUIDADOS CRITICOS UNIDAD  DE CUIDADOS INTENSIVOS  (UCI) PEDIÁTRICA</v>
          </cell>
        </row>
        <row r="57">
          <cell r="A57" t="str">
            <v>250109</v>
          </cell>
          <cell r="B57" t="str">
            <v>UNIDAD DE CUIDADOS CRITICOS UNIDAD  DE CUIDADOS INTENSIVOS  (UCI) QUIRÚRGICA</v>
          </cell>
        </row>
        <row r="58">
          <cell r="A58" t="str">
            <v>250110</v>
          </cell>
          <cell r="B58" t="str">
            <v>UNIDAD DE CUIDADOS CRITICOS UNIDAD  DE CUIDADOS INTENSIVOS  (UCI) RESPIRATORIA</v>
          </cell>
        </row>
        <row r="59">
          <cell r="A59" t="str">
            <v>250111</v>
          </cell>
          <cell r="B59" t="str">
            <v>UNIDAD DE CUIDADOS CRITICOS UNIDAD  DE CUIDADOS INTENSIVOS  (UCI) CARDIOVASCULAR</v>
          </cell>
        </row>
        <row r="60">
          <cell r="A60" t="str">
            <v>250200</v>
          </cell>
          <cell r="B60" t="str">
            <v xml:space="preserve">UNIDAD DE CUIDADOS CRITICOS UNIDAD DE CUIDADOS INTERMEDIOS GENERAL  (UCIN) </v>
          </cell>
        </row>
        <row r="61">
          <cell r="A61" t="str">
            <v>250301</v>
          </cell>
          <cell r="B61" t="str">
            <v>HOSPIT. EN UNIDAD DE CUID.INTEN.-UNIDAD DE VIGILANCIA INTENSIVA (UVI)-CIRUGÍA</v>
          </cell>
        </row>
        <row r="62">
          <cell r="A62" t="str">
            <v>250302</v>
          </cell>
          <cell r="B62" t="str">
            <v>HOSPIT. EN UNIDAD DE CUID.INTEN.-UNIDAD DE VIGILANCIA INTENSIVA (UVI)-GINECO-OBSTETRICIA</v>
          </cell>
        </row>
        <row r="63">
          <cell r="A63" t="str">
            <v>250303</v>
          </cell>
          <cell r="B63" t="str">
            <v>HOSPIT. EN UNIDAD DE CUID.INTEN.-UNIDAD DE VIGILANCIA INTENSIVA (UVI)-INFECTADOS</v>
          </cell>
        </row>
        <row r="64">
          <cell r="A64" t="str">
            <v>250304</v>
          </cell>
          <cell r="B64" t="str">
            <v>HOSPIT. EN UNIDAD DE CUID.INTEN.-UNIDAD DE VIGILANCIA INTENSIVA (UVI)-MEDICINA</v>
          </cell>
        </row>
        <row r="65">
          <cell r="A65" t="str">
            <v>250305</v>
          </cell>
          <cell r="B65" t="str">
            <v>HOSPIT. EN UNIDAD DE CUID.INTEN.-UNIDAD DE VIGILANCIA INTENSIVA (UVI)-NEONATOLOGÍA</v>
          </cell>
        </row>
        <row r="66">
          <cell r="A66" t="str">
            <v>250306</v>
          </cell>
          <cell r="B66" t="str">
            <v>HOSPIT. EN UNIDAD DE CUID.INTEN.-UNIDAD DE VIGILANCIA INTENSIVA (UVI)-PEDIATRÍA</v>
          </cell>
        </row>
        <row r="67">
          <cell r="A67" t="str">
            <v>250400</v>
          </cell>
          <cell r="B67" t="str">
            <v xml:space="preserve">UNIDAD DE CUIDADOS CRITICOS UNIDAD DE QUEMADOS (GRAN QUEMADO) </v>
          </cell>
        </row>
        <row r="68">
          <cell r="A68" t="str">
            <v>250500</v>
          </cell>
          <cell r="B68" t="str">
            <v>HOSPIT. EN UNIDAD DE CUID.INTEN.-UNIDAD DE TRAUMA SHOCK-</v>
          </cell>
        </row>
        <row r="69">
          <cell r="A69" t="str">
            <v>260000</v>
          </cell>
          <cell r="B69" t="str">
            <v>ESTRATEGIAS SANITARIAS NACIONALES</v>
          </cell>
        </row>
        <row r="70">
          <cell r="A70" t="str">
            <v>260100</v>
          </cell>
          <cell r="B70" t="str">
            <v>ESTRAT.SANIT. NAC.-CENTRO JUVENIL-</v>
          </cell>
        </row>
        <row r="71">
          <cell r="A71" t="str">
            <v>260201</v>
          </cell>
          <cell r="B71" t="str">
            <v>ESTRAT.SANIT. NAC.-COMPONENTES ESPECIALES-ACCIDENTES POR ANIMALES PONZOÑOSOS</v>
          </cell>
        </row>
        <row r="72">
          <cell r="A72" t="str">
            <v>260202</v>
          </cell>
          <cell r="B72" t="str">
            <v>ESTRAT.SANIT. NAC.-COMPONENTES ESPECIALES-NUTRICIÓN</v>
          </cell>
        </row>
        <row r="73">
          <cell r="A73" t="str">
            <v>260203</v>
          </cell>
          <cell r="B73" t="str">
            <v>ESTRAT.SANIT. NAC.-COMPONENTES ESPECIALES-PREVENCIÓN DE CISTICERCOSIS</v>
          </cell>
        </row>
        <row r="74">
          <cell r="A74" t="str">
            <v>260204</v>
          </cell>
          <cell r="B74" t="str">
            <v>ESTRAT.SANIT. NAC.-COMPONENTES ESPECIALES-SALUD BUCAL</v>
          </cell>
        </row>
        <row r="75">
          <cell r="A75" t="str">
            <v>260205</v>
          </cell>
          <cell r="B75" t="str">
            <v>ESTRAT.SANIT. NAC.-COMPONENTES ESPECIALES-ZOONOSIS HUMANA (Rabia, carbunco y otras)</v>
          </cell>
        </row>
        <row r="76">
          <cell r="A76" t="str">
            <v>260300</v>
          </cell>
          <cell r="B76" t="str">
            <v>ESTRAT.SANIT. NAC.-INMUNIZACIONES-</v>
          </cell>
        </row>
        <row r="77">
          <cell r="A77" t="str">
            <v>260400</v>
          </cell>
          <cell r="B77" t="str">
            <v>ESTRAT.SANIT. NAC.-MAMIS-</v>
          </cell>
        </row>
        <row r="78">
          <cell r="A78" t="str">
            <v>260501</v>
          </cell>
          <cell r="B78" t="str">
            <v>ESTRAT.SANIT. NAC.-PREVENCIÓN Y CONTROL DE DAÑOS NO TRANSMISIBLES-ADULTO MAYOR</v>
          </cell>
        </row>
        <row r="79">
          <cell r="A79" t="str">
            <v>260502</v>
          </cell>
          <cell r="B79" t="str">
            <v>ESTRAT.SANIT. NAC.-PREVENCIÓN Y CONTROL DE DAÑOS NO TRANSMISIBLES-DIABETES MELLITUS</v>
          </cell>
        </row>
        <row r="80">
          <cell r="A80" t="str">
            <v>260503</v>
          </cell>
          <cell r="B80" t="str">
            <v>ESTRAT.SANIT. NAC.-PREVENCIÓN Y CONTROL DE DAÑOS NO TRANSMISIBLES-HIPERTENSIÓN ARTERIAL</v>
          </cell>
        </row>
        <row r="81">
          <cell r="A81" t="str">
            <v>260504</v>
          </cell>
          <cell r="B81" t="str">
            <v>ESTRAT.SANIT. NAC.-PREVENCIÓN Y CONTROL DE DAÑOS NO TRANSMISIBLES-MANEJO DE ALZHEIMER</v>
          </cell>
        </row>
        <row r="82">
          <cell r="A82" t="str">
            <v>260505</v>
          </cell>
          <cell r="B82" t="str">
            <v>ESTRAT.SANIT. NAC.-PREVENCIÓN Y CONTROL DE DAÑOS NO TRANSMISIBLES-MANEJO DE ASMA</v>
          </cell>
        </row>
        <row r="83">
          <cell r="A83" t="str">
            <v>260506</v>
          </cell>
          <cell r="B83" t="str">
            <v>ESTRAT.SANIT. NAC.-PREVENCIÓN Y CONTROL DE DAÑOS NO TRANSMISIBLES-OBESIDAD E HIPERCOLESTEROLEMIAS</v>
          </cell>
        </row>
        <row r="84">
          <cell r="A84" t="str">
            <v>260507</v>
          </cell>
          <cell r="B84" t="str">
            <v>ESTRAT.SANIT. NAC.-PREVENCIÓN Y CONTROL DE DAÑOS NO TRANSMISIBLES-OSTEOPOROSIS</v>
          </cell>
        </row>
        <row r="85">
          <cell r="A85" t="str">
            <v>260601</v>
          </cell>
          <cell r="B85" t="str">
            <v>PREV.Y CONTROL DE ENF. METAXÉNICAS Y OTRAS TRANS. POR VECTORES-UNIDAD DE DIAG. Y TRAT. DE ENF. METAXÉNICAS</v>
          </cell>
        </row>
        <row r="86">
          <cell r="A86" t="str">
            <v>260701</v>
          </cell>
          <cell r="B86" t="str">
            <v>PREV. Y CONTROL DE INFECCIONES DE TRANSMISIÓN SEXUAL Y VIH-SIDA-UNIDAD DE DIAG. Y TRATAMIENTO DE ITS</v>
          </cell>
        </row>
        <row r="87">
          <cell r="A87" t="str">
            <v>260702</v>
          </cell>
          <cell r="B87" t="str">
            <v>PREV. Y CONTROL DE INFECCIONES DE TRANSMISIÓN SEXUAL Y VIH-SIDA-UNIDAD DE DIAG. Y TRAT. DE VIH/SIDA</v>
          </cell>
        </row>
        <row r="88">
          <cell r="A88" t="str">
            <v>260801</v>
          </cell>
          <cell r="B88" t="str">
            <v>ESTRAT.SANIT. NAC.-PREVENCIÓN Y CONTROL DE TUBERCULOSIS-UNIDAD DE DIAG. Y TRATAMIENTO CLÁSICO</v>
          </cell>
        </row>
        <row r="89">
          <cell r="A89" t="str">
            <v>260802</v>
          </cell>
          <cell r="B89" t="str">
            <v>PREVENCIÓN Y CONTROL DE TUBERCULOSIS-UNIDAD DE DIAG. Y TRATAMIENTO MULTIDROGO RESISTENTES</v>
          </cell>
        </row>
        <row r="90">
          <cell r="A90" t="str">
            <v>224100</v>
          </cell>
          <cell r="B90" t="str">
            <v>CONSULTA EXTERNA-PSICOLOGÍA</v>
          </cell>
        </row>
        <row r="91">
          <cell r="A91" t="str">
            <v>228000</v>
          </cell>
          <cell r="B91" t="str">
            <v>CONSULTA EXTERNA- SALUD OCUPACIONAL</v>
          </cell>
        </row>
        <row r="92">
          <cell r="A92" t="str">
            <v>242205</v>
          </cell>
          <cell r="B92" t="str">
            <v>HOSPITALIZACIÓN MEDICINA PSIQUIATRÍA PISIQUIATRIA/ SALUD MENTAL Y ADICCIONES</v>
          </cell>
        </row>
        <row r="93">
          <cell r="A93" t="str">
            <v>244100</v>
          </cell>
          <cell r="B93" t="str">
            <v xml:space="preserve">HOSPITALIZACIÓN DE MEDICINA DERMATOLOGÍA    </v>
          </cell>
        </row>
        <row r="94">
          <cell r="A94" t="str">
            <v>10303</v>
          </cell>
          <cell r="B94" t="str">
            <v>CENTRO DE DOCUMENTACIÓN E INFORMACIÓN-UNIDAD ORGÁNICA DE TRÁMITE DOCUMENTARIO/MESA DE PARTES O  SEC. GRAL</v>
          </cell>
        </row>
        <row r="95">
          <cell r="A95" t="str">
            <v>244200</v>
          </cell>
          <cell r="B95" t="str">
            <v xml:space="preserve">HOSPITALIZACIÓN DE MEDICINA ENDOCRINOLOGIA </v>
          </cell>
        </row>
        <row r="96">
          <cell r="A96" t="str">
            <v>244300</v>
          </cell>
          <cell r="B96" t="str">
            <v xml:space="preserve">HOSPITALIZACIÓN DE MEDICINA GASTROENTEROLOGÍA  </v>
          </cell>
        </row>
        <row r="97">
          <cell r="A97" t="str">
            <v>244600</v>
          </cell>
          <cell r="B97" t="str">
            <v xml:space="preserve">HOSPITALIZACIÓN DE MEDICINA NEFROLOGIA </v>
          </cell>
        </row>
        <row r="98">
          <cell r="A98" t="str">
            <v>244800</v>
          </cell>
          <cell r="B98" t="str">
            <v>HOSPITALIZACIÓN DE MEDICINA-NEUROLOGIA -NEUROLOGIA DE LA CONDUCTA</v>
          </cell>
        </row>
        <row r="99">
          <cell r="A99" t="str">
            <v>244900</v>
          </cell>
          <cell r="B99" t="str">
            <v>HOSPITALIZACIÓN DE MEDICINA NEUROLOGIA  NEURODEGENERATIVAS</v>
          </cell>
        </row>
        <row r="100">
          <cell r="A100" t="str">
            <v>245000</v>
          </cell>
          <cell r="B100" t="str">
            <v>HOSPITALIZACIÓN DE MEDICINA NEUROLOGIA  NEUROVASCULARES Y METABOLICAS</v>
          </cell>
        </row>
        <row r="101">
          <cell r="A101" t="str">
            <v>245100</v>
          </cell>
          <cell r="B101" t="str">
            <v>HOSPITALIZACIÓN DE MEDICINA NEUROLOGIA  ENFERMEDADES INFECCIOSAS/TRANSMISIBLES DEL SISTEMA NERVIOSO</v>
          </cell>
        </row>
        <row r="102">
          <cell r="A102" t="str">
            <v>230000</v>
          </cell>
          <cell r="B102" t="str">
            <v>EMERGENCIA</v>
          </cell>
        </row>
        <row r="103">
          <cell r="A103" t="str">
            <v>230301</v>
          </cell>
          <cell r="B103" t="str">
            <v>EMERGENCIA SALA DE OBSERVACION SALA OBSERVACION PACIENTE CRITICO</v>
          </cell>
        </row>
        <row r="104">
          <cell r="A104" t="str">
            <v>240801</v>
          </cell>
          <cell r="B104" t="str">
            <v>HOSPITALIZACIÓN QUIRÚRGICA CIRUGÍA PLÁSTICA/RECONSTRUCTIVA/ REPARADORA QUEMADOS</v>
          </cell>
        </row>
        <row r="105">
          <cell r="A105" t="str">
            <v>245700</v>
          </cell>
          <cell r="B105" t="str">
            <v xml:space="preserve">HOSPITALIZACIÓN QUIRÚRGICA CARDIOLOGIA </v>
          </cell>
        </row>
        <row r="106">
          <cell r="A106" t="str">
            <v>245701</v>
          </cell>
          <cell r="B106" t="str">
            <v>HOSPITALIZACIÓN QUIRÚRGICA CARDIOLOGIA CARDIOLOGIA INTERVENVIONISTA</v>
          </cell>
        </row>
        <row r="107">
          <cell r="A107" t="str">
            <v>244000</v>
          </cell>
          <cell r="B107" t="str">
            <v xml:space="preserve">HOSPITALIZACIÓN DE MEDICINA CARDIOLOGIA </v>
          </cell>
        </row>
        <row r="108">
          <cell r="A108" t="str">
            <v>244400</v>
          </cell>
          <cell r="B108" t="str">
            <v xml:space="preserve">HOSPITALIZACIÓN DE MEDICINA GERIATRIA </v>
          </cell>
        </row>
        <row r="109">
          <cell r="A109" t="str">
            <v>244500</v>
          </cell>
          <cell r="B109" t="str">
            <v xml:space="preserve">HOSPITALIZACIÓN DE MEDICINA HEMATOLOGÍA </v>
          </cell>
        </row>
        <row r="110">
          <cell r="A110" t="str">
            <v>244700</v>
          </cell>
          <cell r="B110" t="str">
            <v xml:space="preserve">HOSPITALIZACIÓN DE MEDICINA NEUROLOGIA  </v>
          </cell>
        </row>
        <row r="111">
          <cell r="A111" t="str">
            <v>245200</v>
          </cell>
          <cell r="B111" t="str">
            <v>HOSPITALIZACIÓN DE MEDICINA NEUROLOGIA  EPILEPSIA/EPILEPTOLOGIA</v>
          </cell>
        </row>
        <row r="112">
          <cell r="A112" t="str">
            <v>245300</v>
          </cell>
          <cell r="B112" t="str">
            <v xml:space="preserve">HOSPITALIZACIÓN DE MEDICINA NEUMOLOGÍA  </v>
          </cell>
        </row>
        <row r="113">
          <cell r="A113" t="str">
            <v>245400</v>
          </cell>
          <cell r="B113" t="str">
            <v xml:space="preserve">HOSPITALIZACIÓN DE MEDICINA GINECOLOGIA </v>
          </cell>
        </row>
        <row r="114">
          <cell r="A114" t="str">
            <v>245500</v>
          </cell>
          <cell r="B114" t="str">
            <v xml:space="preserve">HOSPITALIZACIÓN DE MEDICINA REUMATOLOGÍA    </v>
          </cell>
        </row>
        <row r="115">
          <cell r="A115" t="str">
            <v>250000</v>
          </cell>
          <cell r="B115" t="str">
            <v xml:space="preserve">UNIDAD DE CUIDADOS CRITICOS  </v>
          </cell>
        </row>
        <row r="116">
          <cell r="A116" t="str">
            <v>250201</v>
          </cell>
          <cell r="B116" t="str">
            <v>UNIDAD DE CUIDADOS CRITICOS UNIDAD DE CUIDADOS INTERMEDIOS  (UCIN) NEONATAL</v>
          </cell>
        </row>
        <row r="117">
          <cell r="A117" t="str">
            <v>250202</v>
          </cell>
          <cell r="B117" t="str">
            <v>UNIDAD DE CUIDADOS CRITICOS UNIDAD DE CUIDADOS INTERMEDIOS  (UCIN) PEDIÁTRICOS</v>
          </cell>
        </row>
        <row r="118">
          <cell r="A118" t="str">
            <v>250300</v>
          </cell>
          <cell r="B118" t="str">
            <v xml:space="preserve">UNIDAD DE CUIDADOS CRITICOS UNIDAD DE VIGILANCIA INTENSIVA  CLINICA (UVIC) </v>
          </cell>
        </row>
        <row r="119">
          <cell r="A119" t="str">
            <v>11903</v>
          </cell>
          <cell r="B119" t="str">
            <v>REGI. MÉD. E INF. / ESTAD. E INF.-REGISTRO MÉDICOS / ARCHIVO DE HISTORIAS CLÍNICAS y ADMISIÓN</v>
          </cell>
        </row>
        <row r="120">
          <cell r="A120" t="str">
            <v>100000</v>
          </cell>
          <cell r="B120" t="str">
            <v>ENDOSCOPIAS</v>
          </cell>
        </row>
        <row r="121">
          <cell r="A121" t="str">
            <v>100100</v>
          </cell>
          <cell r="B121" t="str">
            <v>ENDOSCOPIAS-DIAGNÓSTICAS DIGESTIVAS-</v>
          </cell>
        </row>
        <row r="122">
          <cell r="A122" t="str">
            <v>100200</v>
          </cell>
          <cell r="B122" t="str">
            <v>ENDOSCOPIAS-DIAGNÓSTICAS GINECOLÓGICAS -</v>
          </cell>
        </row>
        <row r="123">
          <cell r="A123" t="str">
            <v>100300</v>
          </cell>
          <cell r="B123" t="str">
            <v>ENDOSCOPIAS-DIAGNÓSTICAS RESPIRATORIA / BRONCOSCOPIAS-</v>
          </cell>
        </row>
        <row r="124">
          <cell r="A124" t="str">
            <v>100400</v>
          </cell>
          <cell r="B124" t="str">
            <v>ENDOSCOPIAS-DIAGNÓSTICAS REUMATO - TRAUMATOLÓGICAS-</v>
          </cell>
        </row>
        <row r="125">
          <cell r="A125" t="str">
            <v>100500</v>
          </cell>
          <cell r="B125" t="str">
            <v>ENDOSCOPIAS-DIAGNÓSTICAS UROLÓGICAS-</v>
          </cell>
        </row>
        <row r="126">
          <cell r="A126" t="str">
            <v>100600</v>
          </cell>
          <cell r="B126" t="str">
            <v>ENDOSCOPIAS-LAPAROSCOPIAS-</v>
          </cell>
        </row>
        <row r="127">
          <cell r="A127" t="str">
            <v>100700</v>
          </cell>
          <cell r="B127" t="str">
            <v>ENDOSCOPIAS-OTRAS ENDOSCOPÍAS DIAGNÓSTICAS-</v>
          </cell>
        </row>
        <row r="128">
          <cell r="A128" t="str">
            <v>100800</v>
          </cell>
          <cell r="B128" t="str">
            <v>ENDOSCOPIAS-TERAPEÚTICAS DIGESTIVAS-</v>
          </cell>
        </row>
        <row r="129">
          <cell r="A129" t="str">
            <v>100900</v>
          </cell>
          <cell r="B129" t="str">
            <v>ENDOSCOPIAS-TERAPEÚTICAS GINECOLÓGICAS-</v>
          </cell>
        </row>
        <row r="130">
          <cell r="A130" t="str">
            <v>101000</v>
          </cell>
          <cell r="B130" t="str">
            <v>ENDOSCOPIAS-OTRAS ENDOSCOPÍAS TERAPÉUTICAS-</v>
          </cell>
        </row>
        <row r="131">
          <cell r="A131" t="str">
            <v>101100</v>
          </cell>
          <cell r="B131" t="str">
            <v>ENDOSCOPIAS-TERAPEÚTICAS RESPIRATORIAS-</v>
          </cell>
        </row>
        <row r="132">
          <cell r="A132" t="str">
            <v>101200</v>
          </cell>
          <cell r="B132" t="str">
            <v>ENDOSCOPIAS-TERAPEÚTICAS REUMATO - TRAUMATOLÓGICAS-</v>
          </cell>
        </row>
        <row r="133">
          <cell r="A133" t="str">
            <v>101300</v>
          </cell>
          <cell r="B133" t="str">
            <v>ENDOSCOPIAS-TERAPEÚTICAS UROLÓGICAS-</v>
          </cell>
        </row>
        <row r="134">
          <cell r="A134" t="str">
            <v>120000</v>
          </cell>
          <cell r="B134" t="str">
            <v xml:space="preserve">HEMOTERAPIA Y BANCO DE SANGRE  </v>
          </cell>
        </row>
        <row r="135">
          <cell r="A135" t="str">
            <v>120100</v>
          </cell>
          <cell r="B135" t="str">
            <v>HEMOTERAPIA Y BANCO DE SANGRE -FRACCIONAMIENTO DE HEMODERIVADOS-</v>
          </cell>
        </row>
        <row r="136">
          <cell r="A136" t="str">
            <v>120200</v>
          </cell>
          <cell r="B136" t="str">
            <v>HEMOTERAPIA Y BANCO DE SANGRE -FRACCIONAMIENTO DE SANGRE-</v>
          </cell>
        </row>
        <row r="137">
          <cell r="A137" t="str">
            <v>120300</v>
          </cell>
          <cell r="B137" t="str">
            <v>HEMOTERAPIA Y BANCO DE SANGRE -ALMACENAMIENTO Y CONTROL DE CALIDAD-</v>
          </cell>
        </row>
        <row r="138">
          <cell r="A138" t="str">
            <v>245600</v>
          </cell>
          <cell r="B138" t="str">
            <v xml:space="preserve">HOSPITALIZACIÓN DE DÍA  </v>
          </cell>
        </row>
        <row r="139">
          <cell r="A139" t="str">
            <v>120400</v>
          </cell>
          <cell r="B139" t="str">
            <v>HEMOTERAPIA Y BANCO DE SANGRE -COMPATIBILIDAD Y GRUPOS SANGUÍNEOS-</v>
          </cell>
        </row>
        <row r="140">
          <cell r="A140" t="str">
            <v>120500</v>
          </cell>
          <cell r="B140" t="str">
            <v>HEMOTERAPIA Y BANCO DE SANGRE -EXTRACCIÓN Y SEPARACIÓN DE COMPONENTES-</v>
          </cell>
        </row>
        <row r="141">
          <cell r="A141" t="str">
            <v>120600</v>
          </cell>
          <cell r="B141" t="str">
            <v>HEMOTERAPIA Y BANCO DE SANGRE -HEMOTERAPIA-</v>
          </cell>
        </row>
        <row r="142">
          <cell r="A142" t="str">
            <v>120700</v>
          </cell>
          <cell r="B142" t="str">
            <v>HEMOTERAPIA Y BANCO DE SANGRE -SELECCIÓN Y PROMOCIÓN DE DONANTES-</v>
          </cell>
        </row>
        <row r="143">
          <cell r="A143" t="str">
            <v>120800</v>
          </cell>
          <cell r="B143" t="str">
            <v>HEMOTERAPIA Y BANCO DE SANGRE -TAMIZAJE-</v>
          </cell>
        </row>
        <row r="144">
          <cell r="A144" t="str">
            <v>130000</v>
          </cell>
          <cell r="B144" t="str">
            <v>MEDICINA DE REHABILITACIÓN / MEDICINA FÍSICA Y REHABILITACIÓN</v>
          </cell>
        </row>
        <row r="145">
          <cell r="A145" t="str">
            <v>130100</v>
          </cell>
          <cell r="B145" t="str">
            <v>MEDIC. DE REHAB. / MEDICINA FÍS.Y REHAB.-FONIATRÍA -</v>
          </cell>
        </row>
        <row r="146">
          <cell r="A146" t="str">
            <v>130200</v>
          </cell>
          <cell r="B146" t="str">
            <v>MEDIC. DE REHAB. / MEDICINA FÍS.Y REHAB.-LOGOTERAPIA-</v>
          </cell>
        </row>
        <row r="147">
          <cell r="A147" t="str">
            <v>130301</v>
          </cell>
          <cell r="B147" t="str">
            <v>MEDIC. DE REHAB. / MEDICINA FÍS.Y REHAB.-REHABILITACIÓN FÍSICA-REHABILITACIÓN NEUROLÓGICA</v>
          </cell>
        </row>
        <row r="148">
          <cell r="A148" t="str">
            <v>130302</v>
          </cell>
          <cell r="B148" t="str">
            <v>REHABILITACIÓN FÍSICA-REHABILITACIÓN POST RESECCIÓN QUIRÚRGICA / AMPUTACIÓN</v>
          </cell>
        </row>
        <row r="149">
          <cell r="A149" t="str">
            <v>130303</v>
          </cell>
          <cell r="B149" t="str">
            <v>MEDIC. DE REHAB. / MEDICINA FÍS.Y REHAB.-REHABILITACIÓN FÍSICA-REHABILITACIÓN OFTALMOLÓGICA</v>
          </cell>
        </row>
        <row r="150">
          <cell r="A150" t="str">
            <v>130304</v>
          </cell>
          <cell r="B150" t="str">
            <v>REHABILITACIÓN FÍSICA-REHABILITACIÓN REUMATOLÓGICA Y TRAUMATOLÓGICA</v>
          </cell>
        </row>
        <row r="151">
          <cell r="A151" t="str">
            <v>140000</v>
          </cell>
          <cell r="B151" t="str">
            <v xml:space="preserve">MEDICINA NUCLEAR </v>
          </cell>
        </row>
        <row r="152">
          <cell r="A152" t="str">
            <v>140100</v>
          </cell>
          <cell r="B152" t="str">
            <v>MEDICINA NUCLEAR -GAMAGRAFÍA-</v>
          </cell>
        </row>
        <row r="153">
          <cell r="A153" t="str">
            <v>140200</v>
          </cell>
          <cell r="B153" t="str">
            <v>MEDICINA NUCLEAR -RADIOINMUNOENSAYO-</v>
          </cell>
        </row>
        <row r="154">
          <cell r="A154" t="str">
            <v>140300</v>
          </cell>
          <cell r="B154" t="str">
            <v>MEDICINA NUCLEAR -TOMOGRAFÍA POR EMISIÓN DE FOTÓN ÚNICO (SPECT)-</v>
          </cell>
        </row>
        <row r="155">
          <cell r="A155" t="str">
            <v>140400</v>
          </cell>
          <cell r="B155" t="str">
            <v>MEDICINA NUCLEAR -TOMOGRAFÍA POR EMISIÓN DE POSITRONES (PET)-</v>
          </cell>
        </row>
        <row r="156">
          <cell r="A156" t="str">
            <v>150000</v>
          </cell>
          <cell r="B156" t="str">
            <v>PATOLOGÍA CLÍNICA (LABORATORIO CLÍNICO)</v>
          </cell>
        </row>
        <row r="157">
          <cell r="A157" t="str">
            <v>150100</v>
          </cell>
          <cell r="B157" t="str">
            <v>PATOLOGÍA CLÍNICA (LABORATORIO CLÍNICO)-BIOQUÍMICA Y URIANÁLISIS-</v>
          </cell>
        </row>
        <row r="158">
          <cell r="A158" t="str">
            <v>150200</v>
          </cell>
          <cell r="B158" t="str">
            <v>PATOLOGÍA CLÍNICA (LABORATORIO CLÍNICO)-ENDOCRINOLOGÍA-</v>
          </cell>
        </row>
        <row r="159">
          <cell r="A159" t="str">
            <v>150300</v>
          </cell>
          <cell r="B159" t="str">
            <v>PATOLOGÍA CLÍNICA (LABORATORIO CLÍNICO)-HEMATOLOGÍA -</v>
          </cell>
        </row>
        <row r="160">
          <cell r="A160" t="str">
            <v>150500</v>
          </cell>
          <cell r="B160" t="str">
            <v>PATOLOGÍA CLÍNICA (LABORATORIO CLÍNICO)-INMUNOLOGÍA -</v>
          </cell>
        </row>
        <row r="161">
          <cell r="A161" t="str">
            <v>150600</v>
          </cell>
          <cell r="B161" t="str">
            <v>PATOLOGÍA CLÍNICA (LABORATORIO CLÍNICO)-LABORATORIO DE EMERGENCIA-</v>
          </cell>
        </row>
        <row r="162">
          <cell r="A162" t="str">
            <v>150700</v>
          </cell>
          <cell r="B162" t="str">
            <v>PATOLOGÍA CLÍNICA (LABORATORIO CLÍNICO)-LABORATORIO DE INFERTILIDAD-</v>
          </cell>
        </row>
        <row r="163">
          <cell r="A163" t="str">
            <v>150800</v>
          </cell>
          <cell r="B163" t="str">
            <v>PATOLOGÍA CLÍNICA (LABORATORIO CLÍNICO)-MICROBIOLOGÍA Y PARASITOLOGÍA-</v>
          </cell>
        </row>
        <row r="164">
          <cell r="A164" t="str">
            <v>160000</v>
          </cell>
          <cell r="B164" t="str">
            <v>OTROS PROCEDIMIENTOS DIAGNÓSTICOS Y TERAPÉUTICOS</v>
          </cell>
        </row>
        <row r="165">
          <cell r="A165" t="str">
            <v>160100</v>
          </cell>
          <cell r="B165" t="str">
            <v>OTROS PROCED. DIAGNÓSTICOS Y TERAPÉUTICOS-CARDIOVASCULAR-</v>
          </cell>
        </row>
        <row r="166">
          <cell r="A166" t="str">
            <v>160200</v>
          </cell>
          <cell r="B166" t="str">
            <v>OTROS PROCED. DIAGNÓSTICOS Y TERAPÉUTICOS-GINECOLÓGICAS -</v>
          </cell>
        </row>
        <row r="167">
          <cell r="A167" t="str">
            <v>160300</v>
          </cell>
          <cell r="B167" t="str">
            <v>OTROS PROCED. DIAGNÓSTICOS Y TERAPÉUTICOS-NEUMOLÓGICOS-</v>
          </cell>
        </row>
        <row r="168">
          <cell r="A168" t="str">
            <v>160400</v>
          </cell>
          <cell r="B168" t="str">
            <v>OTROS PROCED. DIAGNÓSTICOS Y TERAPÉUTICOS-NEUROLÓGICOS -</v>
          </cell>
        </row>
        <row r="169">
          <cell r="A169" t="str">
            <v>160500</v>
          </cell>
          <cell r="B169" t="str">
            <v>OTROS PROCED. DIAGNÓSTICOS Y TERAPÉUTICOS-OFTALMOLÓGICOS (CAMPIMETRÍA, FONDO DE OJO, OTROS)-</v>
          </cell>
        </row>
        <row r="170">
          <cell r="A170" t="str">
            <v>160600</v>
          </cell>
          <cell r="B170" t="str">
            <v>OTROS PROCED. DIAGNÓSTICOS Y TERAPÉUTICOS-OTORRINOLARINGOLOGÍA-</v>
          </cell>
        </row>
        <row r="171">
          <cell r="A171" t="str">
            <v>160700</v>
          </cell>
          <cell r="B171" t="str">
            <v>OTROS PROCED. DIAGNÓSTICOS Y TERAPÉUTICOS-TRAUMATOLÓGICOS-</v>
          </cell>
        </row>
        <row r="172">
          <cell r="A172" t="str">
            <v>160801</v>
          </cell>
          <cell r="B172" t="str">
            <v>REHAB. EN SALUD MENTAL-TERAPIA PSICOLÓGICA INDIVIDUAL NIÑO / ADOLESCENTE</v>
          </cell>
        </row>
        <row r="173">
          <cell r="A173" t="str">
            <v>160802</v>
          </cell>
          <cell r="B173" t="str">
            <v>REHAB. EN SALUD MENTAL-TERAPIA PSICOLÓGICA INDIVIDUAL ADULTO / GERONTE</v>
          </cell>
        </row>
        <row r="174">
          <cell r="A174" t="str">
            <v>160803</v>
          </cell>
          <cell r="B174" t="str">
            <v>REHAB. EN SALUD MENTAL-TERAPIA PSIQUIÁTRICA INDIVIDUAL NIÑO / ADOLESCENTE</v>
          </cell>
        </row>
        <row r="175">
          <cell r="A175" t="str">
            <v>160804</v>
          </cell>
          <cell r="B175" t="str">
            <v>REHAB. EN SALUD MENTAL-TERAPIA PSIQUIÁTRICA INDIVIDUAL ADULTO / GERONTE</v>
          </cell>
        </row>
        <row r="176">
          <cell r="A176" t="str">
            <v>160805</v>
          </cell>
          <cell r="B176" t="str">
            <v>OTROS PROCED. DIAGNÓSTICOS Y TERAPÉUTICOS-REHAB. EN SALUD MENTAL-TERAPIA FAMILIAR</v>
          </cell>
        </row>
        <row r="177">
          <cell r="A177" t="str">
            <v>160806</v>
          </cell>
          <cell r="B177" t="str">
            <v>OTROS PROCED. DIAGNÓSTICOS Y TERAPÉUTICOS-REHAB. EN SALUD MENTAL-PSICOLOGÍA GRUPAL</v>
          </cell>
        </row>
        <row r="178">
          <cell r="A178" t="str">
            <v>160807</v>
          </cell>
          <cell r="B178" t="str">
            <v>OTROS PROCED. DIAGNÓSTICOS Y TERAPÉUTICOS-REHAB. EN SALUD MENTAL-PSIQUIATRÍA GRUPAL</v>
          </cell>
        </row>
        <row r="179">
          <cell r="A179" t="str">
            <v>170000</v>
          </cell>
          <cell r="B179" t="str">
            <v>QUIMIOTERAPIA--</v>
          </cell>
        </row>
        <row r="180">
          <cell r="A180" t="str">
            <v>180000</v>
          </cell>
          <cell r="B180" t="str">
            <v>RADIOTERAPIA</v>
          </cell>
        </row>
        <row r="181">
          <cell r="A181" t="str">
            <v>180100</v>
          </cell>
          <cell r="B181" t="str">
            <v>RADIOTERAPIA-BRAQUITERAPIA-</v>
          </cell>
        </row>
        <row r="182">
          <cell r="A182" t="str">
            <v>180200</v>
          </cell>
          <cell r="B182" t="str">
            <v>RADIOTERAPIA-RADIOTERAPIA (Cobaltoterapia y Acelerador lineal)-</v>
          </cell>
        </row>
        <row r="183">
          <cell r="A183" t="str">
            <v>190000</v>
          </cell>
          <cell r="B183" t="str">
            <v>BIENESTAR  FETAL</v>
          </cell>
        </row>
        <row r="184">
          <cell r="A184" t="str">
            <v>190100</v>
          </cell>
          <cell r="B184" t="str">
            <v>BIENESTAR FETAL-PERFIL BIOFÍSICO-</v>
          </cell>
        </row>
        <row r="185">
          <cell r="A185" t="str">
            <v>190200</v>
          </cell>
          <cell r="B185" t="str">
            <v>BIENESTAR FETAL-MONITOREO FETAL NST / ST-</v>
          </cell>
        </row>
        <row r="186">
          <cell r="A186" t="str">
            <v>200000</v>
          </cell>
          <cell r="B186" t="str">
            <v>NUTRICIÓN Y DIETÉTICA--</v>
          </cell>
        </row>
        <row r="187">
          <cell r="A187" t="str">
            <v>210000</v>
          </cell>
          <cell r="B187" t="str">
            <v>TERAPIA NUTRICIONAL ESPECIALIZADA--</v>
          </cell>
        </row>
        <row r="188">
          <cell r="A188" t="str">
            <v>220000</v>
          </cell>
          <cell r="B188" t="str">
            <v>CONSULTA EXTERNA</v>
          </cell>
        </row>
        <row r="189">
          <cell r="A189" t="str">
            <v>220100</v>
          </cell>
          <cell r="B189" t="str">
            <v>CONSULTA EXTERNA-CIRUGÍA GENERAL-</v>
          </cell>
        </row>
        <row r="190">
          <cell r="A190" t="str">
            <v>220200</v>
          </cell>
          <cell r="B190" t="str">
            <v>CONSULTA EXTERNA-CIRUGÍA DE CABEZA Y CUELLO / MAXILO FACIAL-</v>
          </cell>
        </row>
        <row r="191">
          <cell r="A191" t="str">
            <v>220301</v>
          </cell>
          <cell r="B191" t="str">
            <v>CONSULTA EXTERNA-CIRUGÍA DIGESTIVA-CIRUGÍA COLORECTAL</v>
          </cell>
        </row>
        <row r="192">
          <cell r="A192" t="str">
            <v>220302</v>
          </cell>
          <cell r="B192" t="str">
            <v>CONSULTA EXTERNA-CIRUGÍA DIGESTIVA-CIRUGÍA GASTROINTESTINAL GENERAL</v>
          </cell>
        </row>
        <row r="193">
          <cell r="A193" t="str">
            <v>220303</v>
          </cell>
          <cell r="B193" t="str">
            <v>CONSULTA EXTERNA-CIRUGÍA DIGESTIVA-CIRUGÍA HEPATOBILIAR</v>
          </cell>
        </row>
        <row r="194">
          <cell r="A194" t="str">
            <v>220304</v>
          </cell>
          <cell r="B194" t="str">
            <v>CONSULTA EXTERNA-CIRUGÍA DIGESTIVA-CIRUGÍA PANCREÁTICA</v>
          </cell>
        </row>
        <row r="195">
          <cell r="A195" t="str">
            <v>220305</v>
          </cell>
          <cell r="B195" t="str">
            <v>CONSULTA EXTERNA-CIRUGÍA DIGESTIVA-CIRUGÍA DE TRACTO GASTROINTESTINAL SUPERIOR</v>
          </cell>
        </row>
        <row r="196">
          <cell r="A196" t="str">
            <v>220400</v>
          </cell>
          <cell r="B196" t="str">
            <v>CONSULTA EXTERNA-CIRUGÍA DE MAMA-</v>
          </cell>
        </row>
        <row r="197">
          <cell r="A197" t="str">
            <v>220500</v>
          </cell>
          <cell r="B197" t="str">
            <v>CONSULTA EXTERNA-CIRUGÍA PEDIÁTRICA-</v>
          </cell>
        </row>
        <row r="198">
          <cell r="A198" t="str">
            <v>220601</v>
          </cell>
          <cell r="B198" t="str">
            <v>CONSULTA EXTERNA-CIRUGÍA PLÁSTICA-ESTÉTICA</v>
          </cell>
        </row>
        <row r="199">
          <cell r="A199" t="str">
            <v>220602</v>
          </cell>
          <cell r="B199" t="str">
            <v>CONSULTA EXTERNA-CIRUGÍA PLÁSTICA-QUEMADOS</v>
          </cell>
        </row>
        <row r="200">
          <cell r="A200" t="str">
            <v>220603</v>
          </cell>
          <cell r="B200" t="str">
            <v>CONSULTA EXTERNA-CIRUGÍA PLÁSTICA-REPARADORA</v>
          </cell>
        </row>
        <row r="201">
          <cell r="A201" t="str">
            <v>220701</v>
          </cell>
          <cell r="B201" t="str">
            <v>CONSULTA EXTERNA-CIRUGÍA DE TÓRAX Y CARDIOVASCULAR-CIRUGÍA CARDIACA</v>
          </cell>
        </row>
        <row r="202">
          <cell r="A202" t="str">
            <v>220702</v>
          </cell>
          <cell r="B202" t="str">
            <v>CONSULTA EXTERNA-CIRUGÍA DE TÓRAX Y CARDIOVASCULAR-CIRUGÍA DE TÓRAX</v>
          </cell>
        </row>
        <row r="203">
          <cell r="A203" t="str">
            <v>220703</v>
          </cell>
          <cell r="B203" t="str">
            <v>CONSULTA EXTERNA-CIRUGÍA DE TÓRAX Y CARDIOVASCULAR-CIRUGÍA VASCULAR</v>
          </cell>
        </row>
        <row r="204">
          <cell r="A204" t="str">
            <v>220801</v>
          </cell>
          <cell r="B204" t="str">
            <v>CONSULTA EXTERNA-CIRUGÍA DE TRANSPLANTES-PROCURA DE ÓRGANOS / LOGÍSTICA</v>
          </cell>
        </row>
        <row r="205">
          <cell r="A205" t="str">
            <v>220802</v>
          </cell>
          <cell r="B205" t="str">
            <v>CONSULTA EXTERNA-CIRUGÍA DE TRANSPLANTES-TRANSPLANTE DE CÉLULAS MADRE</v>
          </cell>
        </row>
        <row r="206">
          <cell r="A206" t="str">
            <v>220803</v>
          </cell>
          <cell r="B206" t="str">
            <v>CONSULTA EXTERNA-CIRUGÍA DE TRANSPLANTES-TRANSPLANTE DE CÓRNEA</v>
          </cell>
        </row>
        <row r="207">
          <cell r="A207" t="str">
            <v>220804</v>
          </cell>
          <cell r="B207" t="str">
            <v>CONSULTA EXTERNA-CIRUGÍA DE TRANSPLANTES-TRANSPLANTE DE HÍGADO</v>
          </cell>
        </row>
        <row r="208">
          <cell r="A208" t="str">
            <v>220805</v>
          </cell>
          <cell r="B208" t="str">
            <v>CONSULTA EXTERNA-CIRUGÍA DE TRANSPLANTES-TRANSPLANTE DE MEDULA ÓSEA</v>
          </cell>
        </row>
        <row r="209">
          <cell r="A209" t="str">
            <v>220806</v>
          </cell>
          <cell r="B209" t="str">
            <v>CONSULTA EXTERNA-CIRUGÍA DE TRANSPLANTES-TRANSPLANTE RENAL</v>
          </cell>
        </row>
        <row r="210">
          <cell r="A210" t="str">
            <v>220901</v>
          </cell>
          <cell r="B210" t="str">
            <v>CONSULTA EXTERNA-NEUROCIRUGÍA-NEUROCIRUGÍA PEDIÁTRICA</v>
          </cell>
        </row>
        <row r="211">
          <cell r="A211" t="str">
            <v>221001</v>
          </cell>
          <cell r="B211" t="str">
            <v>CONSULTA EXTERNA-OFTALMOLOGÍA-CIRUGÍA PLÁSTICA OFTALMOLÓGICA</v>
          </cell>
        </row>
        <row r="212">
          <cell r="A212" t="str">
            <v>221002</v>
          </cell>
          <cell r="B212" t="str">
            <v>CONSULTA EXTERNA-OFTALMOLOGÍA-CÓRNEA</v>
          </cell>
        </row>
        <row r="213">
          <cell r="A213" t="str">
            <v>221003</v>
          </cell>
          <cell r="B213" t="str">
            <v>CONSULTA EXTERNA-OFTALMOLOGÍA-ESTRABISMO</v>
          </cell>
        </row>
        <row r="214">
          <cell r="A214" t="str">
            <v>221004</v>
          </cell>
          <cell r="B214" t="str">
            <v>CONSULTA EXTERNA-OFTALMOLOGÍA-GLAUCOMA</v>
          </cell>
        </row>
        <row r="215">
          <cell r="A215" t="str">
            <v>221005</v>
          </cell>
          <cell r="B215" t="str">
            <v>CONSULTA EXTERNA-OFTALMOLOGÍA-NEUROFTALMOLOGÍA</v>
          </cell>
        </row>
        <row r="216">
          <cell r="A216" t="str">
            <v>221006</v>
          </cell>
          <cell r="B216" t="str">
            <v>CONSULTA EXTERNA-OFTALMOLOGÍA-RETINA</v>
          </cell>
        </row>
        <row r="217">
          <cell r="A217" t="str">
            <v>221007</v>
          </cell>
          <cell r="B217" t="str">
            <v>CONSULTA EXTERNA-OFTALMOLOGÍA-TUMORES OCULARES</v>
          </cell>
        </row>
        <row r="218">
          <cell r="A218" t="str">
            <v>221008</v>
          </cell>
          <cell r="B218" t="str">
            <v>CONSULTA EXTERNA-OFTALMOLOGÍA-ÚVEA</v>
          </cell>
        </row>
        <row r="219">
          <cell r="A219" t="str">
            <v>221100</v>
          </cell>
          <cell r="B219" t="str">
            <v>CONSULTA EXTERNA-ONCOLOGÍA QUIRÚRGICA -</v>
          </cell>
        </row>
        <row r="220">
          <cell r="A220" t="str">
            <v>221200</v>
          </cell>
          <cell r="B220" t="str">
            <v>CONSULTA EXTERNA-OTORRINOLARINGOLOGÍA -</v>
          </cell>
        </row>
        <row r="221">
          <cell r="A221" t="str">
            <v>221301</v>
          </cell>
          <cell r="B221" t="str">
            <v>CONSULTA EXTERNA-TRAUMATOLOGÍA Y ORTOPEDIA-CIRUGÍA DE MANO</v>
          </cell>
        </row>
        <row r="222">
          <cell r="A222" t="str">
            <v>221302</v>
          </cell>
          <cell r="B222" t="str">
            <v>CONSULTA EXTERNA-TRAUMATOLOGÍA Y ORTOPEDIA-ORTOPEDIA</v>
          </cell>
        </row>
        <row r="223">
          <cell r="A223" t="str">
            <v>221303</v>
          </cell>
          <cell r="B223" t="str">
            <v>CONSULTA EXTERNA-TRAUMATOLOGÍA Y ORTOPEDIA-TRAUMATOLOGÍA</v>
          </cell>
        </row>
        <row r="224">
          <cell r="A224" t="str">
            <v>221400</v>
          </cell>
          <cell r="B224" t="str">
            <v>CONSULTA EXTERNA-UROLOGÍA -</v>
          </cell>
        </row>
        <row r="225">
          <cell r="A225" t="str">
            <v>221501</v>
          </cell>
          <cell r="B225" t="str">
            <v>CONSULTA EXTERNA-GINECOLOGÍA GENERAL-ENDOCRINOLOGÍA GINECOLÓGICA</v>
          </cell>
        </row>
        <row r="226">
          <cell r="A226" t="str">
            <v>221502</v>
          </cell>
          <cell r="B226" t="str">
            <v>CONSULTA EXTERNA-GINECOLOGÍA GENERAL-GINECOLOGÍA</v>
          </cell>
        </row>
        <row r="227">
          <cell r="A227" t="str">
            <v>221503</v>
          </cell>
          <cell r="B227" t="str">
            <v>CONSULTA EXTERNA-GINECOLOGÍA GENERAL-INFERTILIDAD O REPRODUCCIÓN HUMANA</v>
          </cell>
        </row>
        <row r="228">
          <cell r="A228" t="str">
            <v>221504</v>
          </cell>
          <cell r="B228" t="str">
            <v>CONSULTA EXTERNA-GINECOLOGÍA GENERAL-ONCOLOGÍA GINECOLÓGICA</v>
          </cell>
        </row>
        <row r="229">
          <cell r="A229" t="str">
            <v>221505</v>
          </cell>
          <cell r="B229" t="str">
            <v>CONSULTA EXTERNA-GINECOLOGÍA GENERAL-PLANIFICACIÓN FAMILIAR</v>
          </cell>
        </row>
        <row r="230">
          <cell r="A230" t="str">
            <v>221601</v>
          </cell>
          <cell r="B230" t="str">
            <v>CONSULTA EXTERNA-OBSTETRICIA / ATENCIÓN DE LA MUJER-OBSTETRICIA</v>
          </cell>
        </row>
        <row r="231">
          <cell r="A231" t="str">
            <v>221602</v>
          </cell>
          <cell r="B231" t="str">
            <v>CONSULTA EXTERNA-OBSTETRICIA / ATENCIÓN DE LA MUJER-PSICOPROFILAXIS OBSTÉTRICA</v>
          </cell>
        </row>
        <row r="232">
          <cell r="A232" t="str">
            <v>221700</v>
          </cell>
          <cell r="B232" t="str">
            <v>CONSULTA EXTERNA-CIRUGÍA ORAL-</v>
          </cell>
        </row>
        <row r="233">
          <cell r="A233" t="str">
            <v>221801</v>
          </cell>
          <cell r="B233" t="str">
            <v>CONSULTA EXTERNA-ODONTOLOGÍA ESPECIALIZADA- ENDODONCIA</v>
          </cell>
        </row>
        <row r="234">
          <cell r="A234" t="str">
            <v>221802</v>
          </cell>
          <cell r="B234" t="str">
            <v>CONSULTA EXTERNA-ODONTOLOGÍA ESPECIALIZADA- PERIODONCIA</v>
          </cell>
        </row>
        <row r="235">
          <cell r="A235" t="str">
            <v>221900</v>
          </cell>
          <cell r="B235" t="str">
            <v>CONSULTA EXTERNA-ODONTOLOGÍA GENERAL-</v>
          </cell>
        </row>
        <row r="236">
          <cell r="A236" t="str">
            <v>222000</v>
          </cell>
          <cell r="B236" t="str">
            <v>CONSULTA EXTERNA-ODONTOLOGÍA PEDIÁTRICA-</v>
          </cell>
        </row>
        <row r="237">
          <cell r="A237" t="str">
            <v>222100</v>
          </cell>
          <cell r="B237" t="str">
            <v>CONSULTA EXTERNA-ORTODONCIA / ORTOPEDIA DE LOS MAXILARES-</v>
          </cell>
        </row>
        <row r="238">
          <cell r="A238" t="str">
            <v>222200</v>
          </cell>
          <cell r="B238" t="str">
            <v>CONSULTA EXTERNA-PRÓTESIS DENTAL-</v>
          </cell>
        </row>
        <row r="239">
          <cell r="A239" t="str">
            <v>222300</v>
          </cell>
          <cell r="B239" t="str">
            <v>CONSULTA EXTERNA-RADIOLOGÍA ODONTOLÓGICA -</v>
          </cell>
        </row>
        <row r="240">
          <cell r="A240" t="str">
            <v>222400</v>
          </cell>
          <cell r="B240" t="str">
            <v>CONSULTA EXTERNA-MEDICINA GENERAL / ATENCIÓN DEL ADULTO-</v>
          </cell>
        </row>
        <row r="241">
          <cell r="A241" t="str">
            <v>222501</v>
          </cell>
          <cell r="B241" t="str">
            <v>CONSULTA EXTERNA-CARDIOLOGÍA-HIPERTENSIÓN ARTERIAL</v>
          </cell>
        </row>
        <row r="242">
          <cell r="A242" t="str">
            <v>222600</v>
          </cell>
          <cell r="B242" t="str">
            <v>CONSULTA EXTERNA-DERMATOLOGÍA-</v>
          </cell>
        </row>
        <row r="243">
          <cell r="A243" t="str">
            <v>222701</v>
          </cell>
          <cell r="B243" t="str">
            <v>CONSULTA EXTERNA-ENDOCRINOLOGÍA-DIABETES MELLITUS I Y II</v>
          </cell>
        </row>
        <row r="244">
          <cell r="A244" t="str">
            <v>222800</v>
          </cell>
          <cell r="B244" t="str">
            <v>CONSULTA EXTERNA-GASTROENTEROLOGÍA-</v>
          </cell>
        </row>
        <row r="245">
          <cell r="A245" t="str">
            <v>222901</v>
          </cell>
          <cell r="B245" t="str">
            <v>CONSULTA EXTERNA-GENÉTICA-CITOGENÉTICA CLÍNICA</v>
          </cell>
        </row>
        <row r="246">
          <cell r="A246" t="str">
            <v>222902</v>
          </cell>
          <cell r="B246" t="str">
            <v>CONSULTA EXTERNA-GENÉTICA-GENÉTICA CLÍNICA</v>
          </cell>
        </row>
        <row r="247">
          <cell r="A247" t="str">
            <v>222903</v>
          </cell>
          <cell r="B247" t="str">
            <v>CONSULTA EXTERNA-GENÉTICA-GENÉTICA MOLECULAR CLÍNICA</v>
          </cell>
        </row>
        <row r="248">
          <cell r="A248" t="str">
            <v>223000</v>
          </cell>
          <cell r="B248" t="str">
            <v>CONSULTA EXTERNA-GERIATRÍA-</v>
          </cell>
        </row>
        <row r="249">
          <cell r="A249" t="str">
            <v>223001</v>
          </cell>
          <cell r="B249" t="str">
            <v>CONSULTA EXTERNA – GERIATRICA-ADULTO MAYOR-SERVICIO DIFERENCIADO</v>
          </cell>
        </row>
        <row r="250">
          <cell r="A250" t="str">
            <v>223002</v>
          </cell>
          <cell r="B250" t="str">
            <v>CONSULTA EXTERNA – GERIATRICA-ADULTO MAYOR-SERVICIO DIFERENCIADO-AMBIENTE ADAPTADO</v>
          </cell>
        </row>
        <row r="251">
          <cell r="A251" t="str">
            <v>223100</v>
          </cell>
          <cell r="B251" t="str">
            <v>CONSULTA EXTERNA-HEMATOLOGÍA-</v>
          </cell>
        </row>
        <row r="252">
          <cell r="A252" t="str">
            <v>223200</v>
          </cell>
          <cell r="B252" t="str">
            <v>CONSULTA EXTERNA-INFECTOLOGÍA-</v>
          </cell>
        </row>
        <row r="253">
          <cell r="A253" t="str">
            <v>223300</v>
          </cell>
          <cell r="B253" t="str">
            <v>CONSULTA EXTERNA-INMUNOLOGÍA Y ALERGIA-</v>
          </cell>
        </row>
        <row r="254">
          <cell r="A254" t="str">
            <v>223400</v>
          </cell>
          <cell r="B254" t="str">
            <v>CONSULTA EXTERNA-MEDICINA FÍSICA Y REHABILITACIÓN-</v>
          </cell>
        </row>
        <row r="255">
          <cell r="A255" t="str">
            <v>223500</v>
          </cell>
          <cell r="B255" t="str">
            <v>CONSULTA EXTERNA-MEDICINA INTERNA-</v>
          </cell>
        </row>
        <row r="256">
          <cell r="A256" t="str">
            <v>223600</v>
          </cell>
          <cell r="B256" t="str">
            <v>CONSULTA EXTERNA-MEDICINA TROPICAL E INFECTOCONTAGIOSAS-</v>
          </cell>
        </row>
        <row r="257">
          <cell r="A257" t="str">
            <v>223700</v>
          </cell>
          <cell r="B257" t="str">
            <v>CONSULTA EXTERNA-NEFROLOGÍA-</v>
          </cell>
        </row>
        <row r="258">
          <cell r="A258" t="str">
            <v>223801</v>
          </cell>
          <cell r="B258" t="str">
            <v>CONSULTA EXTERNA-NEUMOLOGÍA-ASMA</v>
          </cell>
        </row>
        <row r="259">
          <cell r="A259" t="str">
            <v>223901</v>
          </cell>
          <cell r="B259" t="str">
            <v>CONSULTA EXTERNA-NEUROLOGÍA-NEUROFISIOLOGÍA CLÍNICA</v>
          </cell>
        </row>
        <row r="260">
          <cell r="A260" t="str">
            <v>224000</v>
          </cell>
          <cell r="B260" t="str">
            <v>CONSULTA EXTERNA-ONCOLOGÍA MÉDICA -</v>
          </cell>
        </row>
        <row r="261">
          <cell r="A261" t="str">
            <v>224101</v>
          </cell>
          <cell r="B261" t="str">
            <v>CONSULTA EXTERNA-PSICOLOGÍA-ADICCIONES</v>
          </cell>
        </row>
        <row r="262">
          <cell r="A262" t="str">
            <v>224102</v>
          </cell>
          <cell r="B262" t="str">
            <v>CONSULTA EXTERNA-PSICOLOGÍA-CONSEJERÍA</v>
          </cell>
        </row>
        <row r="263">
          <cell r="A263" t="str">
            <v>224103</v>
          </cell>
          <cell r="B263" t="str">
            <v>CONSULTA EXTERNA-PSICOLOGÍA-PSICOLOGÍA ADULTO Y GERONTE</v>
          </cell>
        </row>
        <row r="264">
          <cell r="A264" t="str">
            <v>224104</v>
          </cell>
          <cell r="B264" t="str">
            <v>CONSULTA EXTERNA-PSICOLOGÍA-PSICOLOGÍA FAMILIAR</v>
          </cell>
        </row>
        <row r="265">
          <cell r="A265" t="str">
            <v>224105</v>
          </cell>
          <cell r="B265" t="str">
            <v>CONSULTA EXTERNA-PSICOLOGÍA-PSICOLOGÍA NIÑO Y ADOLESCENTE</v>
          </cell>
        </row>
        <row r="266">
          <cell r="A266" t="str">
            <v>224201</v>
          </cell>
          <cell r="B266" t="str">
            <v>CONSULTA EXTERNA-PSIQUIATRÍA-ADICCIONES</v>
          </cell>
        </row>
        <row r="267">
          <cell r="A267" t="str">
            <v>224202</v>
          </cell>
          <cell r="B267" t="str">
            <v>CONSULTA EXTERNA-PSIQUIATRÍA-CONSEJERIA</v>
          </cell>
        </row>
        <row r="268">
          <cell r="A268" t="str">
            <v>224203</v>
          </cell>
          <cell r="B268" t="str">
            <v>CONSULTA EXTERNA-PSIQUIATRÍA-PSIQUIATRÍA ADULTO Y GERONTE</v>
          </cell>
        </row>
        <row r="269">
          <cell r="A269" t="str">
            <v>224204</v>
          </cell>
          <cell r="B269" t="str">
            <v>CONSULTA EXTERNA-PSIQUIATRÍA-PSIQUIATRÍA FAMILIAR</v>
          </cell>
        </row>
        <row r="270">
          <cell r="A270" t="str">
            <v>224205</v>
          </cell>
          <cell r="B270" t="str">
            <v>CONSULTA EXTERNA-PSIQUIATRÍA-PSIQUIATRÍA NIÑO Y ADOLESCENTE</v>
          </cell>
        </row>
        <row r="271">
          <cell r="A271" t="str">
            <v>224300</v>
          </cell>
          <cell r="B271" t="str">
            <v>CONSULTA EXTERNA-RADIOTERAPIA -</v>
          </cell>
        </row>
        <row r="272">
          <cell r="A272" t="str">
            <v>224400</v>
          </cell>
          <cell r="B272" t="str">
            <v>CONSULTA EXTERNA-REUMATOLOGÍA-</v>
          </cell>
        </row>
        <row r="273">
          <cell r="A273" t="str">
            <v>224500</v>
          </cell>
          <cell r="B273" t="str">
            <v>CONSULTA EXTERNA-TRATAMIENTO DEL DOLOR -</v>
          </cell>
        </row>
        <row r="274">
          <cell r="A274" t="str">
            <v>224600</v>
          </cell>
          <cell r="B274" t="str">
            <v>CONSULTA EXTERNA-ADOLESCENTES-</v>
          </cell>
        </row>
        <row r="275">
          <cell r="A275" t="str">
            <v>224601</v>
          </cell>
          <cell r="B275" t="str">
            <v>CONSULTA EXTERNA-ADOLESCENTES-SERVICIO DIFERENCIADO -HORARIO DIFERENCIADO</v>
          </cell>
        </row>
        <row r="276">
          <cell r="A276" t="str">
            <v>224602</v>
          </cell>
          <cell r="B276" t="str">
            <v>CONSULTA EXTERNA-ADOLESCENTES-SERVICIO DIFERENCIADO-AMBIENTE EXCLUSIVO</v>
          </cell>
        </row>
        <row r="277">
          <cell r="A277" t="str">
            <v>224603</v>
          </cell>
          <cell r="B277" t="str">
            <v>CONSULTA EXTERNA-ADOLESCENTES-SERVICIO DIFERENCIADO-SERVICIOS DIFERENCIADOS ESPECIALIZADOS</v>
          </cell>
        </row>
        <row r="278">
          <cell r="A278" t="str">
            <v>224700</v>
          </cell>
          <cell r="B278" t="str">
            <v>CONSULTA EXTERNA-PEDIATRÍA GENERAL-</v>
          </cell>
        </row>
        <row r="279">
          <cell r="A279" t="str">
            <v>224800</v>
          </cell>
          <cell r="B279" t="str">
            <v>CONSULTA EXTERNA-CARDIOLOGÍA PEDIÁTRICA-</v>
          </cell>
        </row>
        <row r="280">
          <cell r="A280" t="str">
            <v>224900</v>
          </cell>
          <cell r="B280" t="str">
            <v>CONSULTA EXTERNA-DERMATOLOGÍA PEDIÁTRICA-</v>
          </cell>
        </row>
        <row r="281">
          <cell r="A281" t="str">
            <v>225000</v>
          </cell>
          <cell r="B281" t="str">
            <v>CONSULTA EXTERNA-ENDOCRINOLOGÍA PEDIÁTRICA-</v>
          </cell>
        </row>
        <row r="282">
          <cell r="A282" t="str">
            <v>225100</v>
          </cell>
          <cell r="B282" t="str">
            <v>CONSULTA EXTERNA-GASTROENTEROLOGÍA PEDIÁTRICA-</v>
          </cell>
        </row>
        <row r="283">
          <cell r="A283" t="str">
            <v>225200</v>
          </cell>
          <cell r="B283" t="str">
            <v>CONSULTA EXTERNA-GINECOLOGÍA PEDIÁTRICA-</v>
          </cell>
        </row>
        <row r="284">
          <cell r="A284" t="str">
            <v>225300</v>
          </cell>
          <cell r="B284" t="str">
            <v>CONSULTA EXTERNA-NEFROLOGÍA PEDIÁTRICA-</v>
          </cell>
        </row>
        <row r="285">
          <cell r="A285" t="str">
            <v>225400</v>
          </cell>
          <cell r="B285" t="str">
            <v>CONSULTA EXTERNA-NEONATOLOGÍA-</v>
          </cell>
        </row>
        <row r="286">
          <cell r="A286" t="str">
            <v>225500</v>
          </cell>
          <cell r="B286" t="str">
            <v>CONSULTA EXTERNA-NEUMOLOGÍA PEDIÁTRICA-</v>
          </cell>
        </row>
        <row r="287">
          <cell r="A287" t="str">
            <v>225600</v>
          </cell>
          <cell r="B287" t="str">
            <v>CONSULTA EXTERNA-NEUROLOGÍA PEDIÁTRICA-</v>
          </cell>
        </row>
        <row r="288">
          <cell r="A288" t="str">
            <v>225700</v>
          </cell>
          <cell r="B288" t="str">
            <v>CONSULTA EXTERNA-OFTALMOLOGÍA PEDIÁTRICA-</v>
          </cell>
        </row>
        <row r="289">
          <cell r="A289" t="str">
            <v>225800</v>
          </cell>
          <cell r="B289" t="str">
            <v>CONSULTA EXTERNA-ONCOLOGÍA PEDIÁTRICA-</v>
          </cell>
        </row>
        <row r="290">
          <cell r="A290" t="str">
            <v>225900</v>
          </cell>
          <cell r="B290" t="str">
            <v>CONSULTA EXTERNA-PSIQUIATRÍA PEDIÁTRICA-</v>
          </cell>
        </row>
        <row r="291">
          <cell r="A291" t="str">
            <v>226000</v>
          </cell>
          <cell r="B291" t="str">
            <v>CONSULTA EXTERNA-REUMATOLOGÍA PEDIÁTRICA-</v>
          </cell>
        </row>
        <row r="292">
          <cell r="A292" t="str">
            <v>226100</v>
          </cell>
          <cell r="B292" t="str">
            <v>CONSULTA EXTERNA-ONCOLOGÍA PREVENTIVA-</v>
          </cell>
        </row>
        <row r="293">
          <cell r="A293" t="str">
            <v>230100</v>
          </cell>
          <cell r="B293" t="str">
            <v>EMERGENCIA</v>
          </cell>
        </row>
        <row r="294">
          <cell r="A294" t="str">
            <v>230101</v>
          </cell>
          <cell r="B294" t="str">
            <v>EMERGENCIA-EMERGENCIA / PRIORIDAD 2-CIRUGÍA GENERAL</v>
          </cell>
        </row>
        <row r="295">
          <cell r="A295" t="str">
            <v>230102</v>
          </cell>
          <cell r="B295" t="str">
            <v>EMERGENCIA-EMERGENCIA / PRIORIDAD 2-GINECO-OBSTÉTRICA</v>
          </cell>
        </row>
        <row r="296">
          <cell r="A296" t="str">
            <v>230103</v>
          </cell>
          <cell r="B296" t="str">
            <v>EMERGENCIA-EMERGENCIA / PRIORIDAD 2-MEDICINA ADULTOS</v>
          </cell>
        </row>
        <row r="297">
          <cell r="A297" t="str">
            <v>230104</v>
          </cell>
          <cell r="B297" t="str">
            <v>EMERGENCIA-EMERGENCIA / PRIORIDAD 2-OFTALMOLOGÍA</v>
          </cell>
        </row>
        <row r="298">
          <cell r="A298" t="str">
            <v>230105</v>
          </cell>
          <cell r="B298" t="str">
            <v>EMERGENCIA-EMERGENCIA / PRIORIDAD 2-ODONTOLÓGICA</v>
          </cell>
        </row>
        <row r="299">
          <cell r="A299" t="str">
            <v>230106</v>
          </cell>
          <cell r="B299" t="str">
            <v>EMERGENCIA-EMERGENCIA / PRIORIDAD 2-PEDIÁTRICA</v>
          </cell>
        </row>
        <row r="300">
          <cell r="A300" t="str">
            <v>230107</v>
          </cell>
          <cell r="B300" t="str">
            <v>EMERGENCIA-EMERGENCIA / PRIORIDAD 2-PSIQUIÁTRICA</v>
          </cell>
        </row>
        <row r="301">
          <cell r="A301" t="str">
            <v>230108</v>
          </cell>
          <cell r="B301" t="str">
            <v>EMERGENCIA-EMERGENCIA / PRIORIDAD 2-UROLOGÍA</v>
          </cell>
        </row>
        <row r="302">
          <cell r="A302" t="str">
            <v>230109</v>
          </cell>
          <cell r="B302" t="str">
            <v>EMERGENCIA-EMERGENCIA / PRIORIDAD 2-TRAUMATOLOGÍA Y ORTOPEDIA</v>
          </cell>
        </row>
        <row r="303">
          <cell r="A303" t="str">
            <v>230200</v>
          </cell>
          <cell r="B303" t="str">
            <v xml:space="preserve">EMERGENCIA NO EMERGENCIA / NO URGENCIA /  PRIORIDAD 4 </v>
          </cell>
        </row>
        <row r="304">
          <cell r="A304" t="str">
            <v>230300</v>
          </cell>
          <cell r="B304" t="str">
            <v xml:space="preserve">EMERGENCIA SALA DE OBSERVACION </v>
          </cell>
        </row>
        <row r="305">
          <cell r="A305" t="str">
            <v>230400</v>
          </cell>
          <cell r="B305" t="str">
            <v xml:space="preserve">EMERGENCIA SHOCKTRAUMA / PRIORIDAD 1 </v>
          </cell>
        </row>
        <row r="306">
          <cell r="A306" t="str">
            <v>230500</v>
          </cell>
          <cell r="B306" t="str">
            <v xml:space="preserve">EMERGENCIA URGENCIA / PRIORIDAD 3 </v>
          </cell>
        </row>
        <row r="307">
          <cell r="A307" t="str">
            <v>240000</v>
          </cell>
          <cell r="B307" t="str">
            <v>HOSPITALIZACIÓN</v>
          </cell>
        </row>
        <row r="308">
          <cell r="A308" t="str">
            <v>240100</v>
          </cell>
          <cell r="B308" t="str">
            <v xml:space="preserve">HOSPITALIZACIÓN QUIRÚRGICA CIRUGÍA GENERAL </v>
          </cell>
        </row>
        <row r="309">
          <cell r="A309" t="str">
            <v>240200</v>
          </cell>
          <cell r="B309" t="str">
            <v xml:space="preserve">HOSPITALIZACIÓN QUIRÚRGICA CIRUGÍA DE CABEZA Y CUELLO / MÁXILO FACIAL </v>
          </cell>
        </row>
        <row r="310">
          <cell r="A310" t="str">
            <v>240300</v>
          </cell>
          <cell r="B310" t="str">
            <v xml:space="preserve">HOSPITALIZACIÓN QUIRÚRGICA CIRUGÍA DIGESTIVA </v>
          </cell>
        </row>
        <row r="311">
          <cell r="A311" t="str">
            <v>240400</v>
          </cell>
          <cell r="B311" t="str">
            <v xml:space="preserve">HOSPITALIZACIÓN QUIRÚRGICA CIRUGÍA DE TÓRAX Y CARDIOVASCULAR </v>
          </cell>
        </row>
        <row r="312">
          <cell r="A312" t="str">
            <v>240500</v>
          </cell>
          <cell r="B312" t="str">
            <v xml:space="preserve">HOSPITALIZACIÓN QUIRÚRGICA CIRUGÍA DE TRANSPLANTES </v>
          </cell>
        </row>
        <row r="313">
          <cell r="A313" t="str">
            <v>240600</v>
          </cell>
          <cell r="B313" t="str">
            <v xml:space="preserve">HOSPITALIZACIÓN QUIRÚRGICA CIRUGÍA OFTALMOLÓGICA </v>
          </cell>
        </row>
        <row r="314">
          <cell r="A314" t="str">
            <v>240700</v>
          </cell>
          <cell r="B314" t="str">
            <v xml:space="preserve">HOSPITALIZACIÓN QUIRÚRGICA CIRUGÍA PEDIÁTRICA </v>
          </cell>
        </row>
        <row r="315">
          <cell r="A315" t="str">
            <v>240800</v>
          </cell>
          <cell r="B315" t="str">
            <v xml:space="preserve">HOSPITALIZACIÓN QUIRÚRGICA CIRUGÍA PLÁSTICA/RECONSTRUCTIVA/ REPARADORA </v>
          </cell>
        </row>
        <row r="316">
          <cell r="A316" t="str">
            <v>240900</v>
          </cell>
          <cell r="B316" t="str">
            <v xml:space="preserve">HOSPITALIZACIÓN QUIRÚRGICA NEUROCIRUGÍA </v>
          </cell>
        </row>
        <row r="317">
          <cell r="A317" t="str">
            <v>241000</v>
          </cell>
          <cell r="B317" t="str">
            <v xml:space="preserve">HOSPITALIZACIÓN QUIRÚRGICA ONCOLOGÍA QUIRÚRGICA  </v>
          </cell>
        </row>
        <row r="318">
          <cell r="A318" t="str">
            <v>241100</v>
          </cell>
          <cell r="B318" t="str">
            <v xml:space="preserve">HOSPITALIZACIÓN QUIRÚRGICA OTORRINOLARINGOLOGÍA  </v>
          </cell>
        </row>
        <row r="319">
          <cell r="A319" t="str">
            <v>241200</v>
          </cell>
          <cell r="B319" t="str">
            <v xml:space="preserve">HOSPITALIZACIÓN QUIRÚRGICA TRAUMATOLOGÍA Y ORTOPEDIA </v>
          </cell>
        </row>
        <row r="320">
          <cell r="A320" t="str">
            <v>241300</v>
          </cell>
          <cell r="B320" t="str">
            <v xml:space="preserve">HOSPITALIZACIÓN QUIRÚRGICA UROLOGÍA  </v>
          </cell>
        </row>
        <row r="321">
          <cell r="A321" t="str">
            <v>241400</v>
          </cell>
          <cell r="B321" t="str">
            <v xml:space="preserve">HOSPITALIZACIÓN QUIRÚRGICA GINECO - OBSTETRICIA </v>
          </cell>
        </row>
        <row r="322">
          <cell r="A322" t="str">
            <v>160800</v>
          </cell>
          <cell r="B322" t="str">
            <v>OTROS PROCED. DIAGNÓSTICOS Y TERAPÉUTICOS- REHABILITACION EN SALUD MENTAL</v>
          </cell>
        </row>
        <row r="323">
          <cell r="A323" t="str">
            <v>220300</v>
          </cell>
          <cell r="B323" t="str">
            <v>CONSULTA EXTERNA-CIRUGÍA DIGESTIVA</v>
          </cell>
        </row>
        <row r="324">
          <cell r="A324" t="str">
            <v>220503</v>
          </cell>
          <cell r="B324" t="str">
            <v>CONSULTA EXTERNA-CIRUGÍA PEDIÁTRICA-REPARADORA</v>
          </cell>
        </row>
        <row r="325">
          <cell r="A325" t="str">
            <v>220600</v>
          </cell>
          <cell r="B325" t="str">
            <v>CONSULTA EXTERNA-CIRUGÍA PLÁSTICA</v>
          </cell>
        </row>
        <row r="326">
          <cell r="A326" t="str">
            <v>220700</v>
          </cell>
          <cell r="B326" t="str">
            <v>CONSULTA EXTERNA-CIRUGÍA DE TÓRAX Y CARDIOVASCULAR</v>
          </cell>
        </row>
        <row r="327">
          <cell r="A327" t="str">
            <v>220800</v>
          </cell>
          <cell r="B327" t="str">
            <v>CONSULTA EXTERNA-CIRUGÍA DE TRANSPLANTES</v>
          </cell>
        </row>
        <row r="328">
          <cell r="A328" t="str">
            <v>220900</v>
          </cell>
          <cell r="B328" t="str">
            <v>CONSULTA EXTERNA-NEUROCIRUGÍA</v>
          </cell>
        </row>
        <row r="329">
          <cell r="A329" t="str">
            <v>221000</v>
          </cell>
          <cell r="B329" t="str">
            <v>CONSULTA EXTERNA-OFTALMOLOGÍA</v>
          </cell>
        </row>
        <row r="330">
          <cell r="A330" t="str">
            <v>221300</v>
          </cell>
          <cell r="B330" t="str">
            <v>CONSULTA EXTERNA-TRAUMATOLOGÍA Y ORTOPEDIA</v>
          </cell>
        </row>
        <row r="331">
          <cell r="A331" t="str">
            <v>221500</v>
          </cell>
          <cell r="B331" t="str">
            <v>CONSULTA EXTERNA-GINECOLOGÍA GENERAL</v>
          </cell>
        </row>
        <row r="332">
          <cell r="A332" t="str">
            <v>221600</v>
          </cell>
          <cell r="B332" t="str">
            <v>CONSULTA EXTERNA-OBSTETRICIA / ATENCIÓN DE LA MUJER</v>
          </cell>
        </row>
        <row r="333">
          <cell r="A333" t="str">
            <v>221800</v>
          </cell>
          <cell r="B333" t="str">
            <v>CONSULTA EXTERNA-ODONTOLOGÍA ESPECIALIZADA</v>
          </cell>
        </row>
        <row r="334">
          <cell r="A334" t="str">
            <v>222500</v>
          </cell>
          <cell r="B334" t="str">
            <v>CONSULTA EXTERNA-CARDIOLOGÍA</v>
          </cell>
        </row>
        <row r="335">
          <cell r="A335" t="str">
            <v>222700</v>
          </cell>
          <cell r="B335" t="str">
            <v>CONSULTA EXTERNA-ENDOCRINOLOGÍA</v>
          </cell>
        </row>
        <row r="336">
          <cell r="A336" t="str">
            <v>222900</v>
          </cell>
          <cell r="B336" t="str">
            <v>CONSULTA EXTERNA-GENÉTICA</v>
          </cell>
        </row>
        <row r="337">
          <cell r="A337" t="str">
            <v>223800</v>
          </cell>
          <cell r="B337" t="str">
            <v>CONSULTA EXTERNA-NEUMOLOGÍA</v>
          </cell>
        </row>
        <row r="338">
          <cell r="A338" t="str">
            <v>223900</v>
          </cell>
          <cell r="B338" t="str">
            <v>CONSULTA EXTERNA-NEUROLOGÍA</v>
          </cell>
        </row>
        <row r="339">
          <cell r="A339" t="str">
            <v>224200</v>
          </cell>
          <cell r="B339" t="str">
            <v>CONSULTA EXTERNA-PSIQUIATRÍA</v>
          </cell>
        </row>
        <row r="340">
          <cell r="A340" t="str">
            <v>230110</v>
          </cell>
          <cell r="B340" t="str">
            <v>EMERGENCIA-NEUROCIRUGÍA</v>
          </cell>
        </row>
        <row r="341">
          <cell r="A341" t="str">
            <v>230111</v>
          </cell>
          <cell r="B341" t="str">
            <v>EMERGENCIA EMERGENCIA / PRIORIDAD 2 NEONATOLOGÍA</v>
          </cell>
        </row>
        <row r="342">
          <cell r="A342" t="str">
            <v>230112</v>
          </cell>
          <cell r="B342" t="str">
            <v>EMERGENCIA EMERGENCIA / PRIORIDAD 2 CIRUGIA PEDIÁTRICA</v>
          </cell>
        </row>
        <row r="343">
          <cell r="A343" t="str">
            <v>260901</v>
          </cell>
          <cell r="B343" t="str">
            <v>ESTRAT.SANIT. NAC.-SALUD MENTAL Y CULTURA DE PAZ-ADOLESCENTE</v>
          </cell>
        </row>
        <row r="344">
          <cell r="A344" t="str">
            <v>260902</v>
          </cell>
          <cell r="B344" t="str">
            <v>ESTRAT.SANIT. NAC.-SALUD MENTAL Y CULTURA DE PAZ-DEPRESIÓN</v>
          </cell>
        </row>
        <row r="345">
          <cell r="A345" t="str">
            <v>260903</v>
          </cell>
          <cell r="B345" t="str">
            <v>ESTRAT.SANIT. NAC.-SALUD MENTAL Y CULTURA DE PAZ-PREVENCIÓN DE ADICCIONES (drogas y alcohol)</v>
          </cell>
        </row>
        <row r="346">
          <cell r="A346" t="str">
            <v>260904</v>
          </cell>
          <cell r="B346" t="str">
            <v>ESTRAT.SANIT. NAC.-SALUD MENTAL Y CULTURA DE PAZ-VIOLENCIA</v>
          </cell>
        </row>
        <row r="347">
          <cell r="A347" t="str">
            <v>261001</v>
          </cell>
          <cell r="B347" t="str">
            <v>ESTRAT.SANIT. NAC.-SALUD SEXUAL Y REPRODUCTIVA-PLANIFICACIÓN FAMILIAR</v>
          </cell>
        </row>
        <row r="348">
          <cell r="A348" t="str">
            <v>261002</v>
          </cell>
          <cell r="B348" t="str">
            <v>ESTRAT.SANIT. NAC.-SALUD SEXUAL Y REPRODUCTIVA-SALUD MATERNA</v>
          </cell>
        </row>
        <row r="349">
          <cell r="A349" t="str">
            <v>227000</v>
          </cell>
          <cell r="B349" t="str">
            <v>CONSULTA EXTERNA-FAMILIAR/COMUNITARIA/INTEGRAL</v>
          </cell>
        </row>
        <row r="350">
          <cell r="A350" t="str">
            <v>229000</v>
          </cell>
          <cell r="B350" t="str">
            <v>CONSULTA EXTERNA- ANESTESIOLOGIA</v>
          </cell>
        </row>
        <row r="351">
          <cell r="A351" t="str">
            <v>230600</v>
          </cell>
          <cell r="B351" t="str">
            <v>EMERGENCIA-UNIDAD DE VIGILANCIA INTENSIVA (UVI)</v>
          </cell>
        </row>
        <row r="352">
          <cell r="A352" t="str">
            <v>242200</v>
          </cell>
          <cell r="B352" t="str">
            <v xml:space="preserve">HOSPITALIZACIÓN DE MEDICINA PSIQUIATRÍA </v>
          </cell>
        </row>
        <row r="353">
          <cell r="A353" t="str">
            <v>260200</v>
          </cell>
          <cell r="B353" t="str">
            <v>ESTRAT.SANIT. NAC.-COMPONENTES ESPECIALES</v>
          </cell>
        </row>
        <row r="354">
          <cell r="A354" t="str">
            <v>260500</v>
          </cell>
          <cell r="B354" t="str">
            <v>ESTRAT.SANIT. NAC.-PREVENCIÓN Y CONTROL DE DAÑOS NO TRANSMISIBLES</v>
          </cell>
        </row>
        <row r="355">
          <cell r="A355" t="str">
            <v>260600</v>
          </cell>
          <cell r="B355" t="str">
            <v>PREV.Y CONTROL DE ENF. METAXÉNICAS Y OTRAS TRANS. POR VECTORES</v>
          </cell>
        </row>
        <row r="356">
          <cell r="A356" t="str">
            <v>260700</v>
          </cell>
          <cell r="B356" t="str">
            <v>PREV. Y CONTROL DE INFECCIONES DE TRANSMISIÓN SEXUAL Y VIH-SIDA</v>
          </cell>
        </row>
        <row r="357">
          <cell r="A357" t="str">
            <v>260800</v>
          </cell>
          <cell r="B357" t="str">
            <v>ESTRAT.SANIT. NAC.-PREVENCIÓN Y CONTROL DE TUBERCULOSIS</v>
          </cell>
        </row>
        <row r="358">
          <cell r="A358" t="str">
            <v>260900</v>
          </cell>
          <cell r="B358" t="str">
            <v>ESTRAT.SANIT. NAC.-SALUD MENTAL Y CULTURA DE PAZ</v>
          </cell>
        </row>
        <row r="359">
          <cell r="A359" t="str">
            <v>260905</v>
          </cell>
          <cell r="B359" t="str">
            <v>ESTRAT.SANIT. NAC.-SALUD MENTAL Y CULTURA DE PAZ-MAMIS</v>
          </cell>
        </row>
        <row r="360">
          <cell r="A360" t="str">
            <v>261000</v>
          </cell>
          <cell r="B360" t="str">
            <v>ESTRAT.SANIT. NAC.-SALUD SEXUAL Y REPRODUCTIVA</v>
          </cell>
        </row>
        <row r="361">
          <cell r="A361" t="str">
            <v>011903</v>
          </cell>
          <cell r="B361" t="str">
            <v>REGI. MÉD. E INF. / ESTAD. E INF.-REGISTRO MÉDICOS / ARCHIVO DE HISTORIAS CLÍNICAS y ADMISIÓN</v>
          </cell>
        </row>
        <row r="362">
          <cell r="A362" t="str">
            <v>030000</v>
          </cell>
          <cell r="B362" t="str">
            <v>ANATOMO PATOLOGÍA / PATOLOGÍA</v>
          </cell>
        </row>
        <row r="363">
          <cell r="A363" t="str">
            <v>030100</v>
          </cell>
          <cell r="B363" t="str">
            <v>ANATOMO PATOLOGÍA / PATOLOGÍA-BIOPSIAS (Anatomo patología)-</v>
          </cell>
        </row>
        <row r="364">
          <cell r="A364" t="str">
            <v>030200</v>
          </cell>
          <cell r="B364" t="str">
            <v>ANATOMO PATOLOGÍA / PATOLOGÍA-CITOGENÉTICA-</v>
          </cell>
        </row>
        <row r="365">
          <cell r="A365" t="str">
            <v>030300</v>
          </cell>
          <cell r="B365" t="str">
            <v>ANATOMO PATOLOGÍA / PATOLOGÍA-CITOLOGÍA-</v>
          </cell>
        </row>
        <row r="366">
          <cell r="A366" t="str">
            <v>030400</v>
          </cell>
          <cell r="B366" t="str">
            <v>ANATOMO PATOLOGÍA / PATOLOGÍA-CITOMETRÍA DE FLUJO-</v>
          </cell>
        </row>
        <row r="367">
          <cell r="A367" t="str">
            <v>030500</v>
          </cell>
          <cell r="B367" t="str">
            <v>ANATOMO PATOLOGÍA / PATOLOGÍA-INMUNOHISTOQUÍMICA-</v>
          </cell>
        </row>
        <row r="368">
          <cell r="A368" t="str">
            <v>030600</v>
          </cell>
          <cell r="B368" t="str">
            <v>ANATOMO PATOLOGÍA / PATOLOGÍA-NECROPSIAS-</v>
          </cell>
        </row>
        <row r="369">
          <cell r="A369" t="str">
            <v>040000</v>
          </cell>
          <cell r="B369" t="str">
            <v>CENTRO QUIRÚRGICO Y ANESTESIOLOGÍA</v>
          </cell>
        </row>
        <row r="370">
          <cell r="A370" t="str">
            <v>040100</v>
          </cell>
          <cell r="B370" t="str">
            <v>CENTRO QUIRÚRGICO Y ANESTESIOLOGÍA- CIRUGÍA ALTAMENTE ESPECIALIZADA Y DE ALTA COMPLEJIDAD</v>
          </cell>
        </row>
        <row r="371">
          <cell r="A371" t="str">
            <v>040101</v>
          </cell>
          <cell r="B371" t="str">
            <v>CENTRO QUIRÚRGICO Y ANESTESIOLOGÍA-CIRUGÍA "A" -"A1" - CIRUGÍA ALTAMENTE ESPECIALIZADA</v>
          </cell>
        </row>
        <row r="372">
          <cell r="A372" t="str">
            <v>040102</v>
          </cell>
          <cell r="B372" t="str">
            <v>CENTRO QUIRÚRGICO Y ANESTESIOLOGÍA-CIRUGÍA "A" -"A 2" - CIRUGÍA DE ALTA COMPLEJIDAD</v>
          </cell>
        </row>
        <row r="373">
          <cell r="A373" t="str">
            <v>040200</v>
          </cell>
          <cell r="B373" t="str">
            <v>CENTRO QUIRÚRGICO Y ANESTESIOLOGÍA-CIRUGÍA "B" (MEDIANA COMPLEJIDAD)-</v>
          </cell>
        </row>
        <row r="374">
          <cell r="A374" t="str">
            <v>040300</v>
          </cell>
          <cell r="B374" t="str">
            <v>CENTRO QUIRÚRGICO Y ANESTESIOLOGÍA-CIRUGÍA "C" (BAJA COMPLEJIDAD)-</v>
          </cell>
        </row>
        <row r="375">
          <cell r="A375" t="str">
            <v>040400</v>
          </cell>
          <cell r="B375" t="str">
            <v>CENTRO QUIRÚRGICO Y ANESTESIOLOGÍA-CIRUGÍA MENOR DE ALTO REQUERIMIENTO / CIRUGIA AMBULATORIA DE DIA</v>
          </cell>
        </row>
        <row r="376">
          <cell r="A376" t="str">
            <v>040500</v>
          </cell>
          <cell r="B376" t="str">
            <v>CENTRO QUIRÚRGICO Y ANESTESIOLOGÍA-CIRUGÍA MENOR (TÓPICO)-</v>
          </cell>
        </row>
        <row r="377">
          <cell r="A377" t="str">
            <v>040600</v>
          </cell>
          <cell r="B377" t="str">
            <v>CENTRO QUIRÚRGICO Y ANESTESIOLOGÍA-UNIDAD DEL DOLOR-</v>
          </cell>
        </row>
        <row r="378">
          <cell r="A378" t="str">
            <v>040700</v>
          </cell>
          <cell r="B378" t="str">
            <v>CENTRO QUIRÚRGICO Y ANESTESIOLOGÍA-UNIDAD DE RECUPERACIÓN Y REANIMACIÓN-</v>
          </cell>
        </row>
        <row r="379">
          <cell r="A379" t="str">
            <v>050000</v>
          </cell>
          <cell r="B379" t="str">
            <v>BANCO DE ÓRGANOS</v>
          </cell>
        </row>
        <row r="380">
          <cell r="A380" t="str">
            <v>050100</v>
          </cell>
          <cell r="B380" t="str">
            <v>BANCO DE ÓRGANOS-CÉLULAS MADRE DE CORDÓN UMBILICAL-</v>
          </cell>
        </row>
        <row r="381">
          <cell r="A381" t="str">
            <v>050200</v>
          </cell>
          <cell r="B381" t="str">
            <v>BANCO DE ÓRGANOS-CRÍO PRESERVACIÓN-</v>
          </cell>
        </row>
        <row r="382">
          <cell r="A382" t="str">
            <v>050300</v>
          </cell>
          <cell r="B382" t="str">
            <v>BANCO DE ÓRGANOS-HISTOCOMPATIBILIDAD-</v>
          </cell>
        </row>
        <row r="383">
          <cell r="A383" t="str">
            <v>050400</v>
          </cell>
          <cell r="B383" t="str">
            <v>BANCO DE ÓRGANOS-TEJIDOS (piel, córneas, otros)-</v>
          </cell>
        </row>
        <row r="384">
          <cell r="A384" t="str">
            <v>050500</v>
          </cell>
          <cell r="B384" t="str">
            <v>BANCO DE ÓRGANOS-TRANSPLANTES-</v>
          </cell>
        </row>
        <row r="385">
          <cell r="A385" t="str">
            <v>060000</v>
          </cell>
          <cell r="B385" t="str">
            <v xml:space="preserve">BIOLOGÍA MOLECULAR Y GENÉTICA </v>
          </cell>
        </row>
        <row r="386">
          <cell r="A386" t="str">
            <v>060100</v>
          </cell>
          <cell r="B386" t="str">
            <v>BIOLOGÍA MOLECULAR Y GENÉTICA -BIOLOGÍA MOLECULAR -</v>
          </cell>
        </row>
        <row r="387">
          <cell r="A387" t="str">
            <v>060200</v>
          </cell>
          <cell r="B387" t="str">
            <v>BIOLOGÍA MOLECULAR Y GENÉTICA -GENÉTICA -</v>
          </cell>
        </row>
        <row r="388">
          <cell r="A388" t="str">
            <v>070000</v>
          </cell>
          <cell r="B388" t="str">
            <v>CENTRO OBSTÉTRICO--</v>
          </cell>
        </row>
        <row r="389">
          <cell r="A389" t="str">
            <v>080000</v>
          </cell>
          <cell r="B389" t="str">
            <v xml:space="preserve">DIAGNÓSTICO POR IMÁGENES </v>
          </cell>
        </row>
        <row r="390">
          <cell r="A390" t="str">
            <v>080100</v>
          </cell>
          <cell r="B390" t="str">
            <v>DIAGNÓSTICO POR IMÁGENES -DENSITOMETRÍA ÓSEA-</v>
          </cell>
        </row>
        <row r="391">
          <cell r="A391" t="str">
            <v>080200</v>
          </cell>
          <cell r="B391" t="str">
            <v>DIAGNÓSTICO POR IMÁGENES -ECO CARDIOGRAFÍA-</v>
          </cell>
        </row>
        <row r="392">
          <cell r="A392" t="str">
            <v>080300</v>
          </cell>
          <cell r="B392" t="str">
            <v>DIAGNÓSTICO POR IMÁGENES -MAMOGRAFÍA-</v>
          </cell>
        </row>
        <row r="393">
          <cell r="A393" t="str">
            <v>080400</v>
          </cell>
          <cell r="B393" t="str">
            <v>DIAGNÓSTICO POR IMÁGENES -RADIODIAGNÓSTICO / RAYOS X-</v>
          </cell>
        </row>
        <row r="394">
          <cell r="A394" t="str">
            <v>080500</v>
          </cell>
          <cell r="B394" t="str">
            <v>DIAGNÓSTICO POR IMÁGENES -RADIOLOGÍA INTERVENCIONISTA</v>
          </cell>
        </row>
        <row r="395">
          <cell r="A395" t="str">
            <v>080501</v>
          </cell>
          <cell r="B395" t="str">
            <v>DIAGNÓSTICO POR IMÁGENES -RADIOLOGÍA INTERVENCIONISTA-DIAGNÓSTICA</v>
          </cell>
        </row>
        <row r="396">
          <cell r="A396" t="str">
            <v>080502</v>
          </cell>
          <cell r="B396" t="str">
            <v>DIAGNÓSTICO POR IMÁGENES -RADIOLOGÍA INTERVENCIONISTA-TERAPÉUTICA</v>
          </cell>
        </row>
        <row r="397">
          <cell r="A397" t="str">
            <v>080503</v>
          </cell>
          <cell r="B397" t="str">
            <v>DIAGNÓSTICO POR IMÁGENES -RADIOLOGÍA INTERVENCIONISTA-ANGIOGRAFÍAS</v>
          </cell>
        </row>
        <row r="398">
          <cell r="A398" t="str">
            <v>080600</v>
          </cell>
          <cell r="B398" t="str">
            <v>DIAGNÓSTICO POR IMÁGENES -RESONANCIA MAGNÉTICA</v>
          </cell>
        </row>
        <row r="399">
          <cell r="A399" t="str">
            <v>080601</v>
          </cell>
          <cell r="B399" t="str">
            <v>DIAGNÓSTICO POR IMÁGENES -RESONANCIA MAGNÉTICA-DETECCIÓN</v>
          </cell>
        </row>
        <row r="400">
          <cell r="A400" t="str">
            <v>080602</v>
          </cell>
          <cell r="B400" t="str">
            <v>DIAGNÓSTICO POR IMÁGENES -RESONANCIA MAGNÉTICA-PROCEDIMIENTOS</v>
          </cell>
        </row>
        <row r="401">
          <cell r="A401" t="str">
            <v>080700</v>
          </cell>
          <cell r="B401" t="str">
            <v>DIAGNÓSTICO POR IMÁGENES -RADIOLOGÍA NUCLEAR-</v>
          </cell>
        </row>
        <row r="402">
          <cell r="A402" t="str">
            <v>080800</v>
          </cell>
          <cell r="B402" t="str">
            <v>DIAGNÓSTICO POR IMÁGENES -TOMOGRAFÍA COMPUTARIZADA-</v>
          </cell>
        </row>
        <row r="403">
          <cell r="A403" t="str">
            <v>080900</v>
          </cell>
          <cell r="B403" t="str">
            <v>DIAGNÓSTICO POR IMÁGENES -ULTRASONIDO/ ECOGRAFÍA-</v>
          </cell>
        </row>
        <row r="404">
          <cell r="A404" t="str">
            <v>090000</v>
          </cell>
          <cell r="B404" t="str">
            <v>DIÁLISIS</v>
          </cell>
        </row>
        <row r="405">
          <cell r="A405" t="str">
            <v>090100</v>
          </cell>
          <cell r="B405" t="str">
            <v>DIÁLISIS-DIÁLISIS PERITONEAL-</v>
          </cell>
        </row>
        <row r="406">
          <cell r="A406" t="str">
            <v>090200</v>
          </cell>
          <cell r="B406" t="str">
            <v>DIÁLISIS-HEMODIÁLISIS-</v>
          </cell>
        </row>
        <row r="407">
          <cell r="A407" t="str">
            <v>130300</v>
          </cell>
          <cell r="B407" t="str">
            <v>MEDIC. DE REHAB. / MEDICINA FÍS.Y REHAB.-REHABILITACIÓN FÍSICA</v>
          </cell>
        </row>
        <row r="408">
          <cell r="A408" t="str">
            <v>150400</v>
          </cell>
          <cell r="B408" t="str">
            <v>PATOLOGÍA CLÍNICA (LABORATORIO CLÍNICO)-iINMULOGÍA</v>
          </cell>
        </row>
        <row r="409">
          <cell r="A409" t="str">
            <v>010000</v>
          </cell>
          <cell r="B409" t="str">
            <v>SERVICIOS ADMINISTRATIVOS</v>
          </cell>
        </row>
        <row r="410">
          <cell r="A410" t="str">
            <v>010100</v>
          </cell>
          <cell r="B410" t="str">
            <v>SERV.ADM.-ASESORÍA LEGAL-</v>
          </cell>
        </row>
        <row r="411">
          <cell r="A411" t="str">
            <v>010200</v>
          </cell>
          <cell r="B411" t="str">
            <v>SERV.ADM.-CAPELLANÍA -</v>
          </cell>
        </row>
        <row r="412">
          <cell r="A412" t="str">
            <v>010300</v>
          </cell>
          <cell r="B412" t="str">
            <v>SERV.ADM.-CENTRO DE DOCUMENTACIÓN E INFORMACIÓN</v>
          </cell>
        </row>
        <row r="413">
          <cell r="A413" t="str">
            <v>010301</v>
          </cell>
          <cell r="B413" t="str">
            <v>SERV.ADM.-CENTRO DE DOCUMENTACIÓN E INFORMACIÓN-ARCHIVO CENTRAL O GENERAL</v>
          </cell>
        </row>
        <row r="414">
          <cell r="A414" t="str">
            <v>010302</v>
          </cell>
          <cell r="B414" t="str">
            <v>SERV.ADM.-CENTRO DE DOCUMENTACIÓN E INFORMACIÓN-BIBLIOTECA</v>
          </cell>
        </row>
        <row r="415">
          <cell r="A415" t="str">
            <v>010400</v>
          </cell>
          <cell r="B415" t="str">
            <v>SERV.ADM.-CUERPO MÉDICO-</v>
          </cell>
        </row>
        <row r="416">
          <cell r="A416" t="str">
            <v>010500</v>
          </cell>
          <cell r="B416" t="str">
            <v>SERV.ADM.-CUNA JARDÍN-</v>
          </cell>
        </row>
        <row r="417">
          <cell r="A417" t="str">
            <v>010600</v>
          </cell>
          <cell r="B417" t="str">
            <v>SERV.ADM.-DESARROLLO DE RECURSOS HUMANOS / CAPACITACIÓN-</v>
          </cell>
        </row>
        <row r="418">
          <cell r="A418" t="str">
            <v>010700</v>
          </cell>
          <cell r="B418" t="str">
            <v>SERV.ADM.-DIRECCIÓN</v>
          </cell>
        </row>
        <row r="419">
          <cell r="A419" t="str">
            <v>010701</v>
          </cell>
          <cell r="B419" t="str">
            <v>SERV.ADM.-DIRECCIÓN-DIRECCIÓN - GENERAL O EJECUTIVA</v>
          </cell>
        </row>
        <row r="420">
          <cell r="A420" t="str">
            <v>010702</v>
          </cell>
          <cell r="B420" t="str">
            <v>SERV.ADM.-DIRECCIÓN-DIRECCIÓN U OFICINA ADMINISTRATIVA</v>
          </cell>
        </row>
        <row r="421">
          <cell r="A421" t="str">
            <v>010703</v>
          </cell>
          <cell r="B421" t="str">
            <v>SERV.ADM.-DIRECCIÓN-DIRECCIÓN MÉDICA O SUBDIRECCIÓN MÉDICA / DIRECCIÓN ADJUNTA O SUB DIRECCIÓN</v>
          </cell>
        </row>
        <row r="422">
          <cell r="A422" t="str">
            <v>010704</v>
          </cell>
          <cell r="B422" t="str">
            <v>SERV.ADM.-DIRECCIÓN-DIRECCIÓN DE GESTIÓN DE RECURSOS HUMANOS</v>
          </cell>
        </row>
        <row r="423">
          <cell r="A423" t="str">
            <v>010800</v>
          </cell>
          <cell r="B423" t="str">
            <v>SERV.ADM.-GESTIÓN DE LA CALIDAD-</v>
          </cell>
        </row>
        <row r="424">
          <cell r="A424" t="str">
            <v>010900</v>
          </cell>
          <cell r="B424" t="str">
            <v>SERV.ADM.-ECONOMÍA / FINANZAS</v>
          </cell>
        </row>
        <row r="425">
          <cell r="A425" t="str">
            <v>010901</v>
          </cell>
          <cell r="B425" t="str">
            <v>SERV.ADM.-ECONOMÍA / FINANZAS-CONTABILIDAD (Control previo, presupuesto)</v>
          </cell>
        </row>
        <row r="426">
          <cell r="A426" t="str">
            <v>010902</v>
          </cell>
          <cell r="B426" t="str">
            <v>SERV.ADM.-ECONOMÍA / FINANZAS-INTEGRACIÓN CONTABLE</v>
          </cell>
        </row>
        <row r="427">
          <cell r="A427" t="str">
            <v>010903</v>
          </cell>
          <cell r="B427" t="str">
            <v>SERV.ADM.-ECONOMÍA / FINANZAS-TESORERÍA (Facturación, cuentas corrientes)</v>
          </cell>
        </row>
        <row r="428">
          <cell r="A428" t="str">
            <v>011000</v>
          </cell>
          <cell r="B428" t="str">
            <v>SERV.ADM.-EPIDEMIOLOGÍA</v>
          </cell>
        </row>
        <row r="429">
          <cell r="A429" t="str">
            <v>011001</v>
          </cell>
          <cell r="B429" t="str">
            <v>SERV.ADM.-EPIDEMIOLOGÍA-EPIDEMIOLOGÍA HOSPITALARIA</v>
          </cell>
        </row>
        <row r="430">
          <cell r="A430" t="str">
            <v>011002</v>
          </cell>
          <cell r="B430" t="str">
            <v>SERV.ADM.-EPIDEMIOLOGÍA-VIGILANCIA EPIDEMIOLÓGICA Y SALUD AMBIENTAL</v>
          </cell>
        </row>
        <row r="431">
          <cell r="A431" t="str">
            <v>011003</v>
          </cell>
          <cell r="B431" t="str">
            <v>SERV.ADM.-EPIDEMIOLOGÍA-VIGILANCIA DE SALUD OCUPACIONAL</v>
          </cell>
        </row>
        <row r="432">
          <cell r="A432" t="str">
            <v>011100</v>
          </cell>
          <cell r="B432" t="str">
            <v>SERV.ADM.-IMAGEN INSTITUCIONAL/ OFICINA COMUNICACIONES</v>
          </cell>
        </row>
        <row r="433">
          <cell r="A433" t="str">
            <v>011101</v>
          </cell>
          <cell r="B433" t="str">
            <v>SERV.ADM.-IMAGEN INSTITUCIONAL / OFICINA DE COMUNICACIONES-CENTRAL TELEFÓNICA</v>
          </cell>
        </row>
        <row r="434">
          <cell r="A434" t="str">
            <v>011102</v>
          </cell>
          <cell r="B434" t="str">
            <v>SERV.ADM.-IMAGEN INSTITUCIONAL / OFICINA DE COMUNICACIONES-RELACIONES PÚBLICAS</v>
          </cell>
        </row>
        <row r="435">
          <cell r="A435" t="str">
            <v>011200</v>
          </cell>
          <cell r="B435" t="str">
            <v>SERV.ADM.-INVESTIGACIÓN Y DOCENCIA-DOCENCIA</v>
          </cell>
        </row>
        <row r="436">
          <cell r="A436" t="str">
            <v>011201</v>
          </cell>
          <cell r="B436" t="str">
            <v>SERV.ADM.-INVESTIGACIÓN Y DOCENCIA-DOCENCIA</v>
          </cell>
        </row>
        <row r="437">
          <cell r="A437" t="str">
            <v>011202</v>
          </cell>
          <cell r="B437" t="str">
            <v>SERV.ADM.-INVESTIGACIÓN Y DOCENCIA-INVESTIGACIÓN</v>
          </cell>
        </row>
        <row r="438">
          <cell r="A438" t="str">
            <v>011300</v>
          </cell>
          <cell r="B438" t="str">
            <v>SERV.ADM.-DESARROLLO INST. / GESTIÓN INSTITUCIONAL / APOYO A LA GESTIÓN-</v>
          </cell>
        </row>
        <row r="439">
          <cell r="A439" t="str">
            <v>011301</v>
          </cell>
          <cell r="B439" t="str">
            <v>SERV.ADM.-DESARROLLO INST. / OFICINA DE CONTROL INSTITUCIONAL/ CONTROL INTERNO</v>
          </cell>
        </row>
        <row r="440">
          <cell r="A440" t="str">
            <v>011302</v>
          </cell>
          <cell r="B440" t="str">
            <v>SERV.ADM.-DESARROLLO - GEST. INST -APOYO A LA GESTION / ADMINISTRATIVO</v>
          </cell>
        </row>
        <row r="441">
          <cell r="A441" t="str">
            <v>011303</v>
          </cell>
          <cell r="B441" t="str">
            <v>SERV.ADM.-DESARROLLO - GEST. INST -APOYO A LA GESTION  / MEDICO ASISTENCIAL</v>
          </cell>
        </row>
        <row r="442">
          <cell r="A442" t="str">
            <v>011400</v>
          </cell>
          <cell r="B442" t="str">
            <v>SERV.ADM.- JEF. ENFERMERIA</v>
          </cell>
        </row>
        <row r="443">
          <cell r="A443" t="str">
            <v>011401</v>
          </cell>
          <cell r="B443" t="str">
            <v>SERV.ADM.-OFICINA DE CONTROL INSTITUCIONAL / CONTROL INTERNO -ADMINISTRATIVO</v>
          </cell>
        </row>
        <row r="444">
          <cell r="A444" t="str">
            <v>011402</v>
          </cell>
          <cell r="B444" t="str">
            <v>SERV.ADM.-OFICINA DE CONTROL INSTITUCIONAL / CONTROL INTERNO -MÉDICO/ASISTENCIAL</v>
          </cell>
        </row>
        <row r="445">
          <cell r="A445" t="str">
            <v>011500</v>
          </cell>
          <cell r="B445" t="str">
            <v>SERV.ADM.-JEFATURA DE ENFERMERÍA-</v>
          </cell>
        </row>
        <row r="446">
          <cell r="A446" t="str">
            <v>011501</v>
          </cell>
          <cell r="B446" t="str">
            <v>SERV.ADM.-LOGISTICA (Abastecimiento)- ALMACEN</v>
          </cell>
        </row>
        <row r="447">
          <cell r="A447" t="str">
            <v>011502</v>
          </cell>
          <cell r="B447" t="str">
            <v>SERV.ADM.-LOGISTICA (Abastecimiento)- PATRIMONIO</v>
          </cell>
        </row>
        <row r="448">
          <cell r="A448" t="str">
            <v>011503</v>
          </cell>
          <cell r="B448" t="str">
            <v>SERV.ADM.-LOGISTICA (Abastecimiento)- PROGRAMACION ADQUISICIONES</v>
          </cell>
        </row>
        <row r="449">
          <cell r="A449" t="str">
            <v>011600</v>
          </cell>
          <cell r="B449" t="str">
            <v>SERV.ADM.- PERSONA</v>
          </cell>
        </row>
        <row r="450">
          <cell r="A450" t="str">
            <v>011601</v>
          </cell>
          <cell r="B450" t="str">
            <v>SERV.ADM.-LOGÍSTICA (Abastecimiento)-ALMACÉN</v>
          </cell>
        </row>
        <row r="451">
          <cell r="A451" t="str">
            <v>011602</v>
          </cell>
          <cell r="B451" t="str">
            <v>SERV.ADM.-LOGÍSTICA (Abastecimiento)-PATRIMONIO</v>
          </cell>
        </row>
        <row r="452">
          <cell r="A452" t="str">
            <v>011603</v>
          </cell>
          <cell r="B452" t="str">
            <v>SERV.ADM.-LOGÍSTICA (Abastecimiento)-PROGRAMACIÓN ADQUISICIONES</v>
          </cell>
        </row>
        <row r="453">
          <cell r="A453" t="str">
            <v>011604</v>
          </cell>
          <cell r="B453" t="str">
            <v>SERV.ADM.- PERSONAL - REMUNERACIONES</v>
          </cell>
        </row>
        <row r="454">
          <cell r="A454" t="str">
            <v>011700</v>
          </cell>
          <cell r="B454" t="str">
            <v>SERV.ADM.-PLAN. Y PRESUP./ PLANIFIC. Y PRESUPUESTO</v>
          </cell>
        </row>
        <row r="455">
          <cell r="A455" t="str">
            <v>011701</v>
          </cell>
          <cell r="B455" t="str">
            <v>SERV.ADM.-PERSONAL -CONTROL DE ASISTENCIA</v>
          </cell>
        </row>
        <row r="456">
          <cell r="A456" t="str">
            <v>011702</v>
          </cell>
          <cell r="B456" t="str">
            <v>SERV.ADM.-PERSONAL -BIENESTAR DE PERSONAL</v>
          </cell>
        </row>
        <row r="457">
          <cell r="A457" t="str">
            <v>011703</v>
          </cell>
          <cell r="B457" t="str">
            <v>SERV.ADM.-PERSONAL -LEGAJOS Y SELECCIÓN</v>
          </cell>
        </row>
        <row r="458">
          <cell r="A458" t="str">
            <v>011704</v>
          </cell>
          <cell r="B458" t="str">
            <v>SERV.ADM.-PERSONAL -REMUNERACIONES</v>
          </cell>
        </row>
        <row r="459">
          <cell r="A459" t="str">
            <v>011800</v>
          </cell>
          <cell r="B459" t="str">
            <v>SERV.ADM.-REGISTROS MÉDICOS E INFORMACIÓN / ESTAD. E INFORMATICA</v>
          </cell>
        </row>
        <row r="460">
          <cell r="A460" t="str">
            <v>011801</v>
          </cell>
          <cell r="B460" t="str">
            <v>SERV.ADM.-PLAN. Y PRESUP./ PLANIFIC. Y PRESUPUESTO -PLANIFICACIÓN / PLANES y PROGRAMAS</v>
          </cell>
        </row>
        <row r="461">
          <cell r="A461" t="str">
            <v>011802</v>
          </cell>
          <cell r="B461" t="str">
            <v>SERV.ADM.-PLAN. Y PRESUP./ PLANIFIC. Y PRESUPUESTO -PROYECTOS E INVERSIONES</v>
          </cell>
        </row>
        <row r="462">
          <cell r="A462" t="str">
            <v>011803</v>
          </cell>
          <cell r="B462" t="str">
            <v>SERV.ADM.-PLAN. Y PRESUP./ PLANIFIC. Y PRESUPUESTO -UNIDAD DE COSTOS E INGRESOS</v>
          </cell>
        </row>
        <row r="463">
          <cell r="A463" t="str">
            <v>011900</v>
          </cell>
          <cell r="B463" t="str">
            <v>SERV.ADM.- SERVICIO SOCIAL/ TRABAJO SOCIAL</v>
          </cell>
        </row>
        <row r="464">
          <cell r="A464" t="str">
            <v>011901</v>
          </cell>
          <cell r="B464" t="str">
            <v>SERV.ADM.-REGISTROS MÉDICOS E INFORMACIÓN / ESTAD. E INF.-ESTADÍSTICA</v>
          </cell>
        </row>
        <row r="465">
          <cell r="A465" t="str">
            <v>011902</v>
          </cell>
          <cell r="B465" t="str">
            <v>SERV.ADM.-REGISTROS MÉDICOS E INFORMACIÓN / ESTAD. E INF.-INFORMÁTICA</v>
          </cell>
        </row>
        <row r="466">
          <cell r="A466" t="str">
            <v>012000</v>
          </cell>
          <cell r="B466" t="str">
            <v>SERV.ADM.-SERVICIO SOCIAL / TRABAJO SOCIAL-</v>
          </cell>
        </row>
        <row r="467">
          <cell r="A467" t="str">
            <v>012100</v>
          </cell>
          <cell r="B467" t="str">
            <v>SERV.ADM.-VELATORIO</v>
          </cell>
        </row>
        <row r="468">
          <cell r="A468" t="str">
            <v>012101</v>
          </cell>
          <cell r="B468" t="str">
            <v>SERV.ADM.-SEGUROS-CONVENIOS</v>
          </cell>
        </row>
        <row r="469">
          <cell r="A469" t="str">
            <v>012102</v>
          </cell>
          <cell r="B469" t="str">
            <v>SERV.ADM.-SEGUROS-SEGUROS PRIVADOS</v>
          </cell>
        </row>
        <row r="470">
          <cell r="A470" t="str">
            <v>012103</v>
          </cell>
          <cell r="B470" t="str">
            <v>SERV.ADM.-SEGUROS-SEGUROS PÚBLICOS</v>
          </cell>
        </row>
        <row r="471">
          <cell r="A471" t="str">
            <v>012200</v>
          </cell>
          <cell r="B471" t="str">
            <v>SERV.ADM.-VELATORIO -</v>
          </cell>
        </row>
        <row r="472">
          <cell r="A472" t="str">
            <v>020000</v>
          </cell>
          <cell r="B472" t="str">
            <v>SERVICIOS GENERALES Y MANTENIMIENTO</v>
          </cell>
        </row>
        <row r="473">
          <cell r="A473" t="str">
            <v>020100</v>
          </cell>
          <cell r="B473" t="str">
            <v>SERV.GRALES Y MANT.-CENTRAL DE ESTERILIZACIÓN-</v>
          </cell>
        </row>
        <row r="474">
          <cell r="A474" t="str">
            <v>020200</v>
          </cell>
          <cell r="B474" t="str">
            <v>SERV.GRALES Y MANT.-IMPRENTA-</v>
          </cell>
        </row>
        <row r="475">
          <cell r="A475" t="str">
            <v>020300</v>
          </cell>
          <cell r="B475" t="str">
            <v>SERV.GRALES Y MANT.-LAVANDERÍA y ROPERÍA</v>
          </cell>
        </row>
        <row r="476">
          <cell r="A476" t="str">
            <v>020301</v>
          </cell>
          <cell r="B476" t="str">
            <v>SERV.GRALES Y MANT.-LAVANDERÍA y ROPERÍA-COSTURERÍA</v>
          </cell>
        </row>
        <row r="477">
          <cell r="A477" t="str">
            <v>020302</v>
          </cell>
          <cell r="B477" t="str">
            <v>SERV.GRALES Y MANT.-LAVANDERÍA y ROPERÍA-LAVANDERÍA</v>
          </cell>
        </row>
        <row r="478">
          <cell r="A478" t="str">
            <v>020303</v>
          </cell>
          <cell r="B478" t="str">
            <v>SERV.GRALES Y MANT.-LAVANDERÍA y ROPERÍA-ROPERÍA</v>
          </cell>
        </row>
        <row r="479">
          <cell r="A479" t="str">
            <v>020400</v>
          </cell>
          <cell r="B479" t="str">
            <v>SERV.GRALES Y MANT.-LIMPIEZA Y JARDINERÍA</v>
          </cell>
        </row>
        <row r="480">
          <cell r="A480" t="str">
            <v>020401</v>
          </cell>
          <cell r="B480" t="str">
            <v>SERV.GRALES Y MANT.-LIMPIEZA Y JARDINERÍA-BIOHUERTO Y VIVERO</v>
          </cell>
        </row>
        <row r="481">
          <cell r="A481" t="str">
            <v>020402</v>
          </cell>
          <cell r="B481" t="str">
            <v>SERV.GRALES Y MANT.-LIMPIEZA Y JARDINERÍA-JARDINES</v>
          </cell>
        </row>
        <row r="482">
          <cell r="A482" t="str">
            <v>020403</v>
          </cell>
          <cell r="B482" t="str">
            <v>SERV.GRALES Y MANT.-LIMPIEZA Y JARDINERÍA-LIMPIEZA</v>
          </cell>
        </row>
        <row r="483">
          <cell r="A483" t="str">
            <v>020500</v>
          </cell>
          <cell r="B483" t="str">
            <v>SERV.GRALES Y MANT.-MANTENIMIENTO</v>
          </cell>
        </row>
        <row r="484">
          <cell r="A484" t="str">
            <v>020501</v>
          </cell>
          <cell r="B484" t="str">
            <v>SERV.GRALES Y MANT.-MANTENIMIENTO-CARPINTERÍA (madera)</v>
          </cell>
        </row>
        <row r="485">
          <cell r="A485" t="str">
            <v>020502</v>
          </cell>
          <cell r="B485" t="str">
            <v>SERV.GRALES Y MANT.-MANTENIMIENTO-CASA DE FUERZA</v>
          </cell>
        </row>
        <row r="486">
          <cell r="A486" t="str">
            <v>020503</v>
          </cell>
          <cell r="B486" t="str">
            <v>SERV.GRALES Y MANT.-MANTENIMIENTO-ELECTRICIDAD</v>
          </cell>
        </row>
        <row r="487">
          <cell r="A487" t="str">
            <v>020504</v>
          </cell>
          <cell r="B487" t="str">
            <v>SERV.GRALES Y MANT.-MANTENIMIENTO-ELECTROMECÁNICA - ELECTROMÉDICA O ELECTRO BIOMECÁNICA</v>
          </cell>
        </row>
        <row r="488">
          <cell r="A488" t="str">
            <v>020505</v>
          </cell>
          <cell r="B488" t="str">
            <v>SERV.GRALES Y MANT.-MANTENIMIENTO-GASFITERÍA</v>
          </cell>
        </row>
        <row r="489">
          <cell r="A489" t="str">
            <v>020506</v>
          </cell>
          <cell r="B489" t="str">
            <v>SERV.GRALES Y MANT.-MANTENIMIENTO-MECÁNICA AUTOMOTRIZ</v>
          </cell>
        </row>
        <row r="490">
          <cell r="A490" t="str">
            <v>020507</v>
          </cell>
          <cell r="B490" t="str">
            <v>SERV.GRALES Y MANT.-MANTENIMIENTO-MECÁNICA GENERAL / CARPINTERÍA METALMECÁNICA</v>
          </cell>
        </row>
        <row r="491">
          <cell r="A491" t="str">
            <v>020508</v>
          </cell>
          <cell r="B491" t="str">
            <v>SERV.GRALES Y MANT.-MANTENIMIENTO-PINTURA Y ALBAÑILERÍA</v>
          </cell>
        </row>
        <row r="492">
          <cell r="A492" t="str">
            <v>020509</v>
          </cell>
          <cell r="B492" t="str">
            <v>SERV.GRALES Y MANT.-MANTENIMIENTO-TAPICERÍA Y COLCHONERÍA</v>
          </cell>
        </row>
        <row r="493">
          <cell r="A493" t="str">
            <v>020600</v>
          </cell>
          <cell r="B493" t="str">
            <v>SERV.GRALES Y MANT.-NUTRICIÓN / COCINA</v>
          </cell>
        </row>
        <row r="494">
          <cell r="A494" t="str">
            <v>020601</v>
          </cell>
          <cell r="B494" t="str">
            <v>SERV.GRALES Y MANT.-NUTRICIÓN / COCINA-ALIMENTACIÓN DE PACIENTES</v>
          </cell>
        </row>
        <row r="495">
          <cell r="A495" t="str">
            <v>020602</v>
          </cell>
          <cell r="B495" t="str">
            <v>SERV.GRALES Y MANT.-NUTRICIÓN / COCINA-ALIMENTACIÓN DE PERSONAL</v>
          </cell>
        </row>
        <row r="496">
          <cell r="A496" t="str">
            <v>020700</v>
          </cell>
          <cell r="B496" t="str">
            <v>SERV.GRALES Y MANT.-OTROS SERVICIOS GENERALES</v>
          </cell>
        </row>
        <row r="497">
          <cell r="A497" t="str">
            <v>020701</v>
          </cell>
          <cell r="B497" t="str">
            <v>SERV.GRALES Y MANT.-OTROS SERVICIOS GENERALES-COMPLEJOS DEPORTIVOS</v>
          </cell>
        </row>
        <row r="498">
          <cell r="A498" t="str">
            <v>020702</v>
          </cell>
          <cell r="B498" t="str">
            <v>SERV.GRALES Y MANT.-OTROS SERVICIOS GENERALES-PLAYA DE ESTACIONAMIENTO</v>
          </cell>
        </row>
        <row r="499">
          <cell r="A499" t="str">
            <v>020800</v>
          </cell>
          <cell r="B499" t="str">
            <v>SERV.GRALES Y MANT.-PLANTA DE OXÍGENO-</v>
          </cell>
        </row>
        <row r="500">
          <cell r="A500" t="str">
            <v>020900</v>
          </cell>
          <cell r="B500" t="str">
            <v>SERV.GRALES Y MANT.-PLANTA DE TRATAMIENTO DE RESIDUOS SÓLIDOS-</v>
          </cell>
        </row>
        <row r="501">
          <cell r="A501" t="str">
            <v>021000</v>
          </cell>
          <cell r="B501" t="str">
            <v>SERV.GRALES Y MANT.-TALLER DE BIOMECÁNICA (Ortopedia, prótesis.)-</v>
          </cell>
        </row>
        <row r="502">
          <cell r="A502" t="str">
            <v>021100</v>
          </cell>
          <cell r="B502" t="str">
            <v>SERV.GRALES Y MANT.-TRANSPORTE-</v>
          </cell>
        </row>
        <row r="503">
          <cell r="A503" t="str">
            <v>021200</v>
          </cell>
          <cell r="B503" t="str">
            <v>SERV.GRALES Y MANT.-VIGILANCIA-</v>
          </cell>
        </row>
        <row r="504">
          <cell r="A504" t="str">
            <v>110000</v>
          </cell>
          <cell r="B504" t="str">
            <v>FARMACIA</v>
          </cell>
        </row>
        <row r="505">
          <cell r="A505" t="str">
            <v>110100</v>
          </cell>
          <cell r="B505" t="str">
            <v>FARMACIA-FARMACIA AMBULATORIA-</v>
          </cell>
        </row>
        <row r="506">
          <cell r="A506" t="str">
            <v>110200</v>
          </cell>
          <cell r="B506" t="str">
            <v>FARMACIA-FARMACIA CENTRAL-</v>
          </cell>
        </row>
        <row r="507">
          <cell r="A507" t="str">
            <v>110300</v>
          </cell>
          <cell r="B507" t="str">
            <v>FARMACIA-FARMACIA DE EMERGENCIA-</v>
          </cell>
        </row>
        <row r="508">
          <cell r="A508" t="str">
            <v>110400</v>
          </cell>
          <cell r="B508" t="str">
            <v>FARMACIA-FARMACIA DE UNIDOSIS O DE HOSPITALIZACIÓN-</v>
          </cell>
        </row>
        <row r="509">
          <cell r="A509" t="str">
            <v>110500</v>
          </cell>
          <cell r="B509" t="str">
            <v>FARMACIA-FARMACOLOGÍA CLÍNICA-</v>
          </cell>
        </row>
        <row r="510">
          <cell r="A510" t="str">
            <v>270000</v>
          </cell>
          <cell r="B510" t="str">
            <v>TELESALUD</v>
          </cell>
        </row>
        <row r="511">
          <cell r="A511" t="str">
            <v>270100</v>
          </cell>
          <cell r="B511" t="str">
            <v>TELESALUD - CENTRO CONSULTANTE</v>
          </cell>
        </row>
        <row r="512">
          <cell r="A512" t="str">
            <v>270200</v>
          </cell>
          <cell r="B512" t="str">
            <v>TELESALUD - CENTRO CONSULTOR</v>
          </cell>
        </row>
        <row r="513">
          <cell r="A513" t="str">
            <v>270301</v>
          </cell>
          <cell r="B513" t="str">
            <v>TELESALUD - TELEMEDICINA - TELEPRENVENCIÓN</v>
          </cell>
        </row>
        <row r="514">
          <cell r="A514" t="str">
            <v>270302</v>
          </cell>
          <cell r="B514" t="str">
            <v>TELESALUD - TELEMEDICINA - TELEDIAGNÓSTICO</v>
          </cell>
        </row>
        <row r="515">
          <cell r="A515" t="str">
            <v>270303</v>
          </cell>
          <cell r="B515" t="str">
            <v>TELESALUD - TELEMEDICINA - TELEMONITOREO</v>
          </cell>
        </row>
        <row r="516">
          <cell r="A516" t="str">
            <v>270304</v>
          </cell>
          <cell r="B516" t="str">
            <v>TELESALUD - TELEMEDICINA</v>
          </cell>
        </row>
        <row r="517">
          <cell r="A517" t="str">
            <v>270305</v>
          </cell>
          <cell r="B517" t="str">
            <v>TELESALUD - TELEMEDICINA - TELEMERGENCIA</v>
          </cell>
        </row>
        <row r="518">
          <cell r="A518" t="str">
            <v>270306</v>
          </cell>
          <cell r="B518" t="str">
            <v>TELESALUD - TELEMEDICINA - TELEVIGILANCIA EPIDEMIOLOGICA</v>
          </cell>
        </row>
        <row r="519">
          <cell r="A519" t="str">
            <v>270401</v>
          </cell>
          <cell r="B519" t="str">
            <v>TELESALUD - TELEGESTIÓN - TELERREUNIONES EJECUTIVAS</v>
          </cell>
        </row>
        <row r="520">
          <cell r="A520" t="str">
            <v>270402</v>
          </cell>
          <cell r="B520" t="str">
            <v>TELESALUD - TELEGESTIÓN</v>
          </cell>
        </row>
        <row r="521">
          <cell r="A521" t="str">
            <v>270500</v>
          </cell>
          <cell r="B521" t="str">
            <v>TELESALUD - REFERENCIA Y CONTRARREFERENCIA VIRTUAL</v>
          </cell>
        </row>
        <row r="522">
          <cell r="A522" t="str">
            <v>270601</v>
          </cell>
          <cell r="B522" t="str">
            <v>TELESALUD - TELE INFORMACIÓN Y COMUNICACIÓN</v>
          </cell>
        </row>
        <row r="523">
          <cell r="A523" t="str">
            <v>270602</v>
          </cell>
          <cell r="B523" t="str">
            <v>TELESALUD - TELE CAPACITACIÓN</v>
          </cell>
        </row>
        <row r="524">
          <cell r="A524" t="str">
            <v>270603</v>
          </cell>
          <cell r="B524" t="str">
            <v>TELESALUD - TELE IEC - ACCESO A BASE DE DATOS MÉDICOS</v>
          </cell>
        </row>
        <row r="525">
          <cell r="A525" t="str">
            <v>270604</v>
          </cell>
          <cell r="B525" t="str">
            <v>TELESALUD - TELE IEC - DISCUSIÓN VIRTUAL DE CASOS MÉDICOS</v>
          </cell>
        </row>
        <row r="526">
          <cell r="A526" t="str">
            <v>270605</v>
          </cell>
          <cell r="B526" t="str">
            <v>TELESALUD - TELE IEC - ITERCAMBIO CIENTÍFICO</v>
          </cell>
        </row>
        <row r="527">
          <cell r="A527" t="str">
            <v>270606</v>
          </cell>
          <cell r="B527" t="str">
            <v>TELESALUD - TELE IEC - INFORMACIÓN EN SALUD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271"/>
  <sheetViews>
    <sheetView zoomScale="93" zoomScaleNormal="93" workbookViewId="0">
      <selection activeCell="Q3" sqref="Q3:Q258"/>
    </sheetView>
  </sheetViews>
  <sheetFormatPr baseColWidth="10" defaultColWidth="12.5703125" defaultRowHeight="15.75" customHeight="1" x14ac:dyDescent="0.2"/>
  <cols>
    <col min="1" max="1" width="10" customWidth="1"/>
    <col min="2" max="2" width="9.42578125" customWidth="1"/>
    <col min="3" max="3" width="11.7109375" customWidth="1"/>
    <col min="5" max="5" width="32.85546875" customWidth="1"/>
    <col min="7" max="7" width="11.42578125" customWidth="1"/>
    <col min="8" max="8" width="27.7109375" customWidth="1"/>
    <col min="9" max="9" width="6.5703125" customWidth="1"/>
    <col min="10" max="10" width="5.85546875" customWidth="1"/>
    <col min="12" max="12" width="9.42578125" customWidth="1"/>
    <col min="14" max="14" width="8.85546875" customWidth="1"/>
    <col min="15" max="15" width="7.140625" customWidth="1"/>
    <col min="16" max="16" width="8.7109375" customWidth="1"/>
    <col min="17" max="17" width="27.5703125" customWidth="1"/>
    <col min="18" max="18" width="10.5703125" customWidth="1"/>
    <col min="19" max="19" width="8" customWidth="1"/>
    <col min="20" max="20" width="18.28515625" customWidth="1"/>
    <col min="21" max="21" width="13.5703125" customWidth="1"/>
    <col min="22" max="22" width="14.42578125" customWidth="1"/>
  </cols>
  <sheetData>
    <row r="1" spans="1:35" ht="120" customHeight="1" x14ac:dyDescent="0.2">
      <c r="A1" s="1"/>
      <c r="B1" s="2" t="s">
        <v>0</v>
      </c>
      <c r="C1" s="1" t="s">
        <v>1</v>
      </c>
      <c r="D1" s="3" t="s">
        <v>2</v>
      </c>
      <c r="E1" s="4"/>
      <c r="F1" s="4"/>
      <c r="G1" s="5" t="s">
        <v>3</v>
      </c>
      <c r="H1" s="5"/>
      <c r="I1" s="6"/>
      <c r="J1" s="7" t="s">
        <v>4</v>
      </c>
      <c r="K1" s="8" t="s">
        <v>5</v>
      </c>
      <c r="L1" s="9" t="s">
        <v>6</v>
      </c>
      <c r="M1" s="9" t="s">
        <v>7</v>
      </c>
      <c r="N1" s="4"/>
      <c r="O1" s="6"/>
      <c r="P1" s="10" t="s">
        <v>8</v>
      </c>
      <c r="Q1" s="11"/>
      <c r="R1" s="12" t="s">
        <v>9</v>
      </c>
      <c r="S1" s="13" t="s">
        <v>10</v>
      </c>
      <c r="T1" s="14" t="s">
        <v>11</v>
      </c>
      <c r="U1" s="15" t="s">
        <v>12</v>
      </c>
      <c r="V1" s="16"/>
      <c r="W1" s="17" t="s">
        <v>13</v>
      </c>
      <c r="X1" s="5"/>
      <c r="Z1" s="18" t="s">
        <v>14</v>
      </c>
      <c r="AA1" s="19"/>
      <c r="AB1" s="19"/>
      <c r="AC1" s="19"/>
      <c r="AD1" s="19"/>
      <c r="AE1" s="19"/>
      <c r="AF1" s="19"/>
      <c r="AG1" s="19"/>
      <c r="AH1" s="19"/>
      <c r="AI1" s="20"/>
    </row>
    <row r="2" spans="1:35" ht="229.5" x14ac:dyDescent="0.2">
      <c r="A2" s="4" t="s">
        <v>15</v>
      </c>
      <c r="B2" s="1" t="s">
        <v>16</v>
      </c>
      <c r="C2" s="21" t="s">
        <v>17</v>
      </c>
      <c r="D2" s="21" t="s">
        <v>18</v>
      </c>
      <c r="E2" s="21" t="s">
        <v>19</v>
      </c>
      <c r="F2" s="21" t="s">
        <v>20</v>
      </c>
      <c r="G2" s="21" t="s">
        <v>21</v>
      </c>
      <c r="H2" s="21" t="s">
        <v>22</v>
      </c>
      <c r="I2" s="1" t="s">
        <v>23</v>
      </c>
      <c r="J2" s="1" t="s">
        <v>24</v>
      </c>
      <c r="K2" s="1" t="s">
        <v>25</v>
      </c>
      <c r="L2" s="22" t="s">
        <v>26</v>
      </c>
      <c r="M2" s="22" t="s">
        <v>27</v>
      </c>
      <c r="N2" s="23" t="s">
        <v>28</v>
      </c>
      <c r="O2" s="2" t="s">
        <v>29</v>
      </c>
      <c r="P2" s="24" t="s">
        <v>30</v>
      </c>
      <c r="Q2" s="10" t="s">
        <v>31</v>
      </c>
      <c r="R2" s="25" t="s">
        <v>32</v>
      </c>
      <c r="S2" s="26" t="s">
        <v>33</v>
      </c>
      <c r="T2" s="14" t="s">
        <v>34</v>
      </c>
      <c r="U2" s="5" t="s">
        <v>35</v>
      </c>
      <c r="V2" s="27" t="s">
        <v>36</v>
      </c>
      <c r="W2" s="27" t="s">
        <v>37</v>
      </c>
      <c r="X2" s="27" t="s">
        <v>38</v>
      </c>
      <c r="Z2" s="28" t="s">
        <v>39</v>
      </c>
      <c r="AA2" s="28" t="s">
        <v>40</v>
      </c>
      <c r="AB2" s="28" t="s">
        <v>41</v>
      </c>
      <c r="AC2" s="29" t="s">
        <v>42</v>
      </c>
      <c r="AD2" s="29" t="s">
        <v>43</v>
      </c>
      <c r="AE2" s="29" t="s">
        <v>44</v>
      </c>
      <c r="AF2" s="29" t="s">
        <v>45</v>
      </c>
      <c r="AG2" s="29" t="s">
        <v>46</v>
      </c>
      <c r="AH2" s="29" t="s">
        <v>47</v>
      </c>
      <c r="AI2" s="29" t="s">
        <v>48</v>
      </c>
    </row>
    <row r="3" spans="1:35" ht="18.75" x14ac:dyDescent="0.3">
      <c r="A3" s="30">
        <v>46024</v>
      </c>
      <c r="B3" s="31" t="s">
        <v>49</v>
      </c>
      <c r="C3" s="31">
        <v>1</v>
      </c>
      <c r="D3" s="31" t="s">
        <v>50</v>
      </c>
      <c r="E3" s="31" t="s">
        <v>51</v>
      </c>
      <c r="F3" s="31">
        <v>21866455</v>
      </c>
      <c r="G3" s="31">
        <v>7789806</v>
      </c>
      <c r="H3" s="31" t="s">
        <v>52</v>
      </c>
      <c r="I3" s="31">
        <v>85</v>
      </c>
      <c r="J3" s="31" t="s">
        <v>50</v>
      </c>
      <c r="K3" s="31" t="s">
        <v>53</v>
      </c>
      <c r="L3" s="31" t="s">
        <v>54</v>
      </c>
      <c r="M3" s="31" t="s">
        <v>54</v>
      </c>
      <c r="N3" s="31" t="s">
        <v>55</v>
      </c>
      <c r="O3" s="31" t="s">
        <v>56</v>
      </c>
      <c r="P3" s="31" t="s">
        <v>50</v>
      </c>
      <c r="Q3" s="31">
        <v>499000</v>
      </c>
      <c r="R3" s="32" t="s">
        <v>57</v>
      </c>
      <c r="S3" s="31" t="s">
        <v>57</v>
      </c>
      <c r="T3" s="32" t="s">
        <v>58</v>
      </c>
      <c r="U3" s="32" t="s">
        <v>58</v>
      </c>
      <c r="V3" s="33">
        <v>46024</v>
      </c>
      <c r="W3" s="34">
        <v>0.69444444444444442</v>
      </c>
      <c r="X3" s="34">
        <v>0.79166666666666663</v>
      </c>
      <c r="Y3" s="31"/>
      <c r="Z3" s="35">
        <v>202601</v>
      </c>
      <c r="AA3" s="36">
        <v>17024</v>
      </c>
      <c r="AB3" s="36">
        <v>17024</v>
      </c>
      <c r="AC3" s="37">
        <v>1</v>
      </c>
      <c r="AD3" s="38">
        <v>137</v>
      </c>
      <c r="AE3" s="38">
        <v>60</v>
      </c>
      <c r="AF3" s="39">
        <v>612</v>
      </c>
      <c r="AG3" s="36">
        <v>418.67</v>
      </c>
      <c r="AH3" s="40">
        <v>396.54</v>
      </c>
      <c r="AI3" s="40">
        <v>14</v>
      </c>
    </row>
    <row r="4" spans="1:35" ht="17.25" x14ac:dyDescent="0.3">
      <c r="A4" s="33">
        <v>46027</v>
      </c>
      <c r="B4" s="31" t="s">
        <v>59</v>
      </c>
      <c r="C4" s="31">
        <v>1</v>
      </c>
      <c r="D4" s="31" t="s">
        <v>60</v>
      </c>
      <c r="E4" s="31" t="s">
        <v>61</v>
      </c>
      <c r="F4" s="31">
        <v>21523144</v>
      </c>
      <c r="G4" s="31">
        <v>45808103</v>
      </c>
      <c r="H4" s="31" t="s">
        <v>62</v>
      </c>
      <c r="I4" s="31">
        <v>34</v>
      </c>
      <c r="J4" s="31" t="s">
        <v>50</v>
      </c>
      <c r="K4" s="31" t="s">
        <v>63</v>
      </c>
      <c r="L4" s="31" t="s">
        <v>54</v>
      </c>
      <c r="M4" s="31" t="s">
        <v>54</v>
      </c>
      <c r="N4" s="31" t="s">
        <v>64</v>
      </c>
      <c r="O4" s="31" t="s">
        <v>56</v>
      </c>
      <c r="P4" s="31" t="s">
        <v>50</v>
      </c>
      <c r="Q4" s="31">
        <v>90874</v>
      </c>
      <c r="R4" s="32" t="s">
        <v>57</v>
      </c>
      <c r="S4" s="31" t="s">
        <v>65</v>
      </c>
      <c r="T4" s="32" t="s">
        <v>66</v>
      </c>
      <c r="U4" s="32" t="s">
        <v>58</v>
      </c>
      <c r="V4" s="33">
        <v>46027</v>
      </c>
      <c r="W4" s="41">
        <v>0.32291666666666669</v>
      </c>
      <c r="X4" s="41">
        <v>0.33333333333333331</v>
      </c>
      <c r="Y4" s="31"/>
      <c r="Z4" s="42">
        <v>202601</v>
      </c>
      <c r="AA4" s="43">
        <v>17024</v>
      </c>
      <c r="AB4" s="43">
        <v>17024</v>
      </c>
      <c r="AC4" s="44">
        <v>2</v>
      </c>
      <c r="AD4" s="45">
        <v>39</v>
      </c>
      <c r="AE4" s="45">
        <v>6</v>
      </c>
      <c r="AF4" s="46"/>
      <c r="AG4" s="43">
        <v>108.11</v>
      </c>
      <c r="AH4" s="43">
        <v>97.54</v>
      </c>
      <c r="AI4" s="47"/>
    </row>
    <row r="5" spans="1:35" ht="12.75" x14ac:dyDescent="0.2">
      <c r="A5" s="30">
        <v>46027</v>
      </c>
      <c r="B5" s="31" t="s">
        <v>67</v>
      </c>
      <c r="C5" s="31">
        <v>1</v>
      </c>
      <c r="D5" s="31" t="s">
        <v>60</v>
      </c>
      <c r="E5" s="31" t="s">
        <v>61</v>
      </c>
      <c r="F5" s="48">
        <v>21523144</v>
      </c>
      <c r="G5" s="31" t="s">
        <v>68</v>
      </c>
      <c r="H5" s="31" t="s">
        <v>62</v>
      </c>
      <c r="I5" s="31">
        <v>61</v>
      </c>
      <c r="J5" s="31" t="s">
        <v>50</v>
      </c>
      <c r="K5" s="31" t="s">
        <v>65</v>
      </c>
      <c r="L5" s="31" t="s">
        <v>58</v>
      </c>
      <c r="M5" s="31" t="s">
        <v>54</v>
      </c>
      <c r="N5" s="31" t="s">
        <v>64</v>
      </c>
      <c r="O5" s="31" t="s">
        <v>56</v>
      </c>
      <c r="P5" s="31" t="s">
        <v>50</v>
      </c>
      <c r="Q5" s="31">
        <v>90874</v>
      </c>
      <c r="R5" s="31" t="s">
        <v>57</v>
      </c>
      <c r="S5" s="31" t="s">
        <v>65</v>
      </c>
      <c r="T5" s="31" t="s">
        <v>66</v>
      </c>
      <c r="U5" s="31" t="s">
        <v>58</v>
      </c>
      <c r="V5" s="30">
        <v>46027</v>
      </c>
      <c r="W5" s="34">
        <v>0.33333333333333331</v>
      </c>
      <c r="X5" s="34">
        <v>0.34375</v>
      </c>
      <c r="Y5" s="31"/>
    </row>
    <row r="6" spans="1:35" ht="12.75" x14ac:dyDescent="0.2">
      <c r="A6" s="30">
        <v>46027</v>
      </c>
      <c r="B6" s="31" t="s">
        <v>69</v>
      </c>
      <c r="C6" s="31">
        <v>1</v>
      </c>
      <c r="D6" s="31" t="s">
        <v>60</v>
      </c>
      <c r="E6" s="31" t="s">
        <v>61</v>
      </c>
      <c r="F6" s="48">
        <v>21523144</v>
      </c>
      <c r="G6" s="31">
        <v>47472877</v>
      </c>
      <c r="H6" s="31" t="s">
        <v>62</v>
      </c>
      <c r="I6" s="31">
        <v>32</v>
      </c>
      <c r="J6" s="31" t="s">
        <v>63</v>
      </c>
      <c r="K6" s="31" t="s">
        <v>63</v>
      </c>
      <c r="L6" s="31" t="s">
        <v>54</v>
      </c>
      <c r="M6" s="31" t="s">
        <v>54</v>
      </c>
      <c r="N6" s="31" t="s">
        <v>64</v>
      </c>
      <c r="O6" s="31" t="s">
        <v>56</v>
      </c>
      <c r="P6" s="31" t="s">
        <v>50</v>
      </c>
      <c r="Q6" s="31">
        <v>90874</v>
      </c>
      <c r="R6" s="31"/>
      <c r="S6" s="31" t="s">
        <v>65</v>
      </c>
      <c r="T6" s="31"/>
      <c r="U6" s="31" t="s">
        <v>70</v>
      </c>
      <c r="V6" s="30">
        <v>46027</v>
      </c>
      <c r="W6" s="34"/>
      <c r="X6" s="34"/>
      <c r="Y6" s="31"/>
    </row>
    <row r="7" spans="1:35" ht="12.75" x14ac:dyDescent="0.2">
      <c r="A7" s="30">
        <v>46028</v>
      </c>
      <c r="B7" s="31" t="s">
        <v>71</v>
      </c>
      <c r="C7" s="31">
        <v>1</v>
      </c>
      <c r="D7" s="31" t="s">
        <v>60</v>
      </c>
      <c r="E7" s="31" t="s">
        <v>72</v>
      </c>
      <c r="F7" s="31">
        <v>45693874</v>
      </c>
      <c r="G7" s="31">
        <v>60652156</v>
      </c>
      <c r="H7" s="31" t="s">
        <v>73</v>
      </c>
      <c r="I7" s="31">
        <v>20</v>
      </c>
      <c r="J7" s="31" t="s">
        <v>50</v>
      </c>
      <c r="K7" s="31" t="s">
        <v>58</v>
      </c>
      <c r="L7" s="31" t="s">
        <v>54</v>
      </c>
      <c r="M7" s="31" t="s">
        <v>54</v>
      </c>
      <c r="N7" s="31" t="s">
        <v>74</v>
      </c>
      <c r="O7" s="31" t="s">
        <v>56</v>
      </c>
      <c r="P7" s="31" t="s">
        <v>50</v>
      </c>
      <c r="Q7" s="31">
        <v>26655</v>
      </c>
      <c r="R7" s="31" t="s">
        <v>57</v>
      </c>
      <c r="S7" s="31" t="s">
        <v>65</v>
      </c>
      <c r="T7" s="31" t="s">
        <v>58</v>
      </c>
      <c r="U7" s="31" t="s">
        <v>58</v>
      </c>
      <c r="V7" s="30">
        <v>46028</v>
      </c>
      <c r="W7" s="34">
        <v>0.59375</v>
      </c>
      <c r="X7" s="34">
        <v>0.69791666666666663</v>
      </c>
      <c r="Y7" s="31"/>
    </row>
    <row r="8" spans="1:35" ht="12.75" x14ac:dyDescent="0.2">
      <c r="A8" s="30">
        <v>46028</v>
      </c>
      <c r="B8" s="31" t="s">
        <v>75</v>
      </c>
      <c r="C8" s="31">
        <v>1</v>
      </c>
      <c r="D8" s="31" t="s">
        <v>60</v>
      </c>
      <c r="E8" s="31" t="s">
        <v>72</v>
      </c>
      <c r="F8" s="31">
        <v>45693874</v>
      </c>
      <c r="G8" s="31">
        <v>77046176</v>
      </c>
      <c r="H8" s="31" t="s">
        <v>73</v>
      </c>
      <c r="I8" s="31">
        <v>24</v>
      </c>
      <c r="J8" s="31" t="s">
        <v>50</v>
      </c>
      <c r="K8" s="31" t="s">
        <v>76</v>
      </c>
      <c r="L8" s="31" t="s">
        <v>54</v>
      </c>
      <c r="M8" s="31" t="s">
        <v>54</v>
      </c>
      <c r="N8" s="31" t="s">
        <v>77</v>
      </c>
      <c r="O8" s="31" t="s">
        <v>56</v>
      </c>
      <c r="P8" s="31" t="s">
        <v>50</v>
      </c>
      <c r="Q8" s="31">
        <v>26010</v>
      </c>
      <c r="R8" s="31" t="s">
        <v>57</v>
      </c>
      <c r="S8" s="31" t="s">
        <v>65</v>
      </c>
      <c r="T8" s="31" t="s">
        <v>58</v>
      </c>
      <c r="U8" s="31" t="s">
        <v>58</v>
      </c>
      <c r="V8" s="30">
        <v>46028</v>
      </c>
      <c r="W8" s="34">
        <v>0.70138888888888884</v>
      </c>
      <c r="X8" s="34">
        <v>0.82986111111111116</v>
      </c>
      <c r="Y8" s="31"/>
    </row>
    <row r="9" spans="1:35" ht="12.75" x14ac:dyDescent="0.2">
      <c r="A9" s="30">
        <v>46028</v>
      </c>
      <c r="B9" s="31" t="s">
        <v>59</v>
      </c>
      <c r="C9" s="31">
        <v>1</v>
      </c>
      <c r="D9" s="31" t="s">
        <v>50</v>
      </c>
      <c r="E9" s="31" t="s">
        <v>78</v>
      </c>
      <c r="F9" s="31">
        <v>43403659</v>
      </c>
      <c r="G9" s="31">
        <v>73349727</v>
      </c>
      <c r="H9" s="31" t="s">
        <v>79</v>
      </c>
      <c r="I9" s="31">
        <v>23</v>
      </c>
      <c r="J9" s="31" t="s">
        <v>50</v>
      </c>
      <c r="K9" s="31" t="s">
        <v>58</v>
      </c>
      <c r="L9" s="31" t="s">
        <v>76</v>
      </c>
      <c r="M9" s="31" t="s">
        <v>54</v>
      </c>
      <c r="N9" s="31" t="s">
        <v>80</v>
      </c>
      <c r="O9" s="31" t="s">
        <v>56</v>
      </c>
      <c r="P9" s="31" t="s">
        <v>81</v>
      </c>
      <c r="Q9" s="31">
        <v>30520</v>
      </c>
      <c r="R9" s="31" t="s">
        <v>57</v>
      </c>
      <c r="S9" s="31" t="s">
        <v>65</v>
      </c>
      <c r="T9" s="31" t="s">
        <v>66</v>
      </c>
      <c r="U9" s="31" t="s">
        <v>58</v>
      </c>
      <c r="V9" s="30">
        <v>46028</v>
      </c>
      <c r="W9" s="34">
        <v>0.33333333333333331</v>
      </c>
      <c r="X9" s="34">
        <v>0.45833333333333331</v>
      </c>
      <c r="Y9" s="31"/>
    </row>
    <row r="10" spans="1:35" ht="12.75" x14ac:dyDescent="0.2">
      <c r="A10" s="30">
        <v>46028</v>
      </c>
      <c r="B10" s="31" t="s">
        <v>59</v>
      </c>
      <c r="C10" s="31">
        <v>1</v>
      </c>
      <c r="D10" s="31" t="s">
        <v>60</v>
      </c>
      <c r="E10" s="31" t="s">
        <v>82</v>
      </c>
      <c r="F10" s="31">
        <v>44746381</v>
      </c>
      <c r="G10" s="31">
        <v>29277048</v>
      </c>
      <c r="H10" s="31" t="s">
        <v>83</v>
      </c>
      <c r="I10" s="31">
        <v>66</v>
      </c>
      <c r="J10" s="31" t="s">
        <v>50</v>
      </c>
      <c r="K10" s="31" t="s">
        <v>53</v>
      </c>
      <c r="L10" s="31" t="s">
        <v>54</v>
      </c>
      <c r="M10" s="31" t="s">
        <v>54</v>
      </c>
      <c r="N10" s="31" t="s">
        <v>84</v>
      </c>
      <c r="O10" s="31" t="s">
        <v>56</v>
      </c>
      <c r="P10" s="31" t="s">
        <v>81</v>
      </c>
      <c r="Q10" s="31">
        <v>52649</v>
      </c>
      <c r="R10" s="31" t="s">
        <v>57</v>
      </c>
      <c r="S10" s="31" t="s">
        <v>65</v>
      </c>
      <c r="T10" s="31" t="s">
        <v>58</v>
      </c>
      <c r="U10" s="31" t="s">
        <v>58</v>
      </c>
      <c r="V10" s="30">
        <v>46028</v>
      </c>
      <c r="W10" s="34">
        <v>0.35416666666666669</v>
      </c>
      <c r="X10" s="34">
        <v>0.41666666666666669</v>
      </c>
      <c r="Y10" s="31"/>
    </row>
    <row r="11" spans="1:35" ht="12.75" x14ac:dyDescent="0.2">
      <c r="A11" s="30">
        <v>46028</v>
      </c>
      <c r="B11" s="31" t="s">
        <v>67</v>
      </c>
      <c r="C11" s="31">
        <v>1</v>
      </c>
      <c r="D11" s="31" t="s">
        <v>50</v>
      </c>
      <c r="E11" s="31" t="s">
        <v>85</v>
      </c>
      <c r="F11" s="48">
        <v>61368</v>
      </c>
      <c r="G11" s="31">
        <v>74935386</v>
      </c>
      <c r="H11" s="31" t="s">
        <v>83</v>
      </c>
      <c r="I11" s="31">
        <v>23</v>
      </c>
      <c r="J11" s="31" t="s">
        <v>50</v>
      </c>
      <c r="K11" s="31" t="s">
        <v>53</v>
      </c>
      <c r="L11" s="31" t="s">
        <v>76</v>
      </c>
      <c r="M11" s="31" t="s">
        <v>54</v>
      </c>
      <c r="N11" s="31" t="s">
        <v>86</v>
      </c>
      <c r="O11" s="31" t="s">
        <v>56</v>
      </c>
      <c r="P11" s="31" t="s">
        <v>81</v>
      </c>
      <c r="Q11" s="31">
        <v>55530</v>
      </c>
      <c r="R11" s="31" t="s">
        <v>57</v>
      </c>
      <c r="S11" s="31" t="s">
        <v>65</v>
      </c>
      <c r="T11" s="31" t="s">
        <v>58</v>
      </c>
      <c r="U11" s="31" t="s">
        <v>58</v>
      </c>
      <c r="V11" s="30">
        <v>46028</v>
      </c>
      <c r="W11" s="34">
        <v>0.4375</v>
      </c>
      <c r="X11" s="34">
        <v>0.58333333333333337</v>
      </c>
      <c r="Y11" s="31"/>
    </row>
    <row r="12" spans="1:35" ht="12.75" x14ac:dyDescent="0.2">
      <c r="A12" s="30">
        <v>46028</v>
      </c>
      <c r="B12" s="31" t="s">
        <v>59</v>
      </c>
      <c r="C12" s="31">
        <v>1</v>
      </c>
      <c r="D12" s="31" t="s">
        <v>50</v>
      </c>
      <c r="E12" s="31" t="s">
        <v>87</v>
      </c>
      <c r="F12" s="31">
        <v>45125864</v>
      </c>
      <c r="G12" s="31">
        <v>44496303</v>
      </c>
      <c r="H12" s="31" t="s">
        <v>88</v>
      </c>
      <c r="I12" s="31">
        <v>39</v>
      </c>
      <c r="J12" s="31" t="s">
        <v>50</v>
      </c>
      <c r="K12" s="31" t="s">
        <v>70</v>
      </c>
      <c r="L12" s="31" t="s">
        <v>76</v>
      </c>
      <c r="M12" s="31" t="s">
        <v>54</v>
      </c>
      <c r="N12" s="31" t="s">
        <v>89</v>
      </c>
      <c r="O12" s="31" t="s">
        <v>56</v>
      </c>
      <c r="P12" s="31" t="s">
        <v>81</v>
      </c>
      <c r="Q12" s="31">
        <v>55530</v>
      </c>
      <c r="R12" s="31" t="s">
        <v>57</v>
      </c>
      <c r="S12" s="31" t="s">
        <v>65</v>
      </c>
      <c r="T12" s="31" t="s">
        <v>66</v>
      </c>
      <c r="U12" s="31" t="s">
        <v>58</v>
      </c>
      <c r="V12" s="30">
        <v>46028</v>
      </c>
      <c r="W12" s="49">
        <v>46089</v>
      </c>
      <c r="X12" s="49">
        <v>46091</v>
      </c>
      <c r="Y12" s="31"/>
    </row>
    <row r="13" spans="1:35" ht="12.75" x14ac:dyDescent="0.2">
      <c r="A13" s="30">
        <v>46029</v>
      </c>
      <c r="B13" s="31" t="s">
        <v>59</v>
      </c>
      <c r="C13" s="31">
        <v>1</v>
      </c>
      <c r="D13" s="31" t="s">
        <v>60</v>
      </c>
      <c r="E13" s="31" t="s">
        <v>61</v>
      </c>
      <c r="F13" s="31">
        <v>21523144</v>
      </c>
      <c r="G13" s="31">
        <v>47472877</v>
      </c>
      <c r="H13" s="31" t="s">
        <v>62</v>
      </c>
      <c r="I13" s="31">
        <v>32</v>
      </c>
      <c r="J13" s="31" t="s">
        <v>63</v>
      </c>
      <c r="K13" s="31" t="s">
        <v>63</v>
      </c>
      <c r="L13" s="31" t="s">
        <v>54</v>
      </c>
      <c r="M13" s="31" t="s">
        <v>54</v>
      </c>
      <c r="N13" s="31" t="s">
        <v>64</v>
      </c>
      <c r="O13" s="31" t="s">
        <v>56</v>
      </c>
      <c r="P13" s="31" t="s">
        <v>50</v>
      </c>
      <c r="Q13" s="31">
        <v>90874</v>
      </c>
      <c r="R13" s="31" t="s">
        <v>57</v>
      </c>
      <c r="S13" s="31" t="s">
        <v>65</v>
      </c>
      <c r="T13" s="31" t="s">
        <v>66</v>
      </c>
      <c r="U13" s="31" t="s">
        <v>58</v>
      </c>
      <c r="V13" s="30">
        <v>46029</v>
      </c>
      <c r="W13" s="34">
        <v>0.35416666666666669</v>
      </c>
      <c r="X13" s="34">
        <v>0.375</v>
      </c>
      <c r="Y13" s="31"/>
    </row>
    <row r="14" spans="1:35" ht="12.75" x14ac:dyDescent="0.2">
      <c r="A14" s="30">
        <v>46029</v>
      </c>
      <c r="B14" s="31" t="s">
        <v>67</v>
      </c>
      <c r="C14" s="31">
        <v>1</v>
      </c>
      <c r="D14" s="31" t="s">
        <v>60</v>
      </c>
      <c r="E14" s="31" t="s">
        <v>61</v>
      </c>
      <c r="F14" s="31">
        <v>21523144</v>
      </c>
      <c r="G14" s="31" t="s">
        <v>90</v>
      </c>
      <c r="H14" s="31" t="s">
        <v>62</v>
      </c>
      <c r="I14" s="31">
        <v>53</v>
      </c>
      <c r="J14" s="31" t="s">
        <v>63</v>
      </c>
      <c r="K14" s="31" t="s">
        <v>63</v>
      </c>
      <c r="L14" s="31" t="s">
        <v>54</v>
      </c>
      <c r="M14" s="31" t="s">
        <v>54</v>
      </c>
      <c r="N14" s="31" t="s">
        <v>64</v>
      </c>
      <c r="O14" s="31" t="s">
        <v>56</v>
      </c>
      <c r="P14" s="31" t="s">
        <v>50</v>
      </c>
      <c r="Q14" s="31">
        <v>90874</v>
      </c>
      <c r="R14" s="31" t="s">
        <v>57</v>
      </c>
      <c r="S14" s="31" t="s">
        <v>65</v>
      </c>
      <c r="T14" s="31" t="s">
        <v>66</v>
      </c>
      <c r="U14" s="31" t="s">
        <v>58</v>
      </c>
      <c r="V14" s="30">
        <v>46029</v>
      </c>
      <c r="W14" s="34">
        <v>0.38541666666666669</v>
      </c>
      <c r="X14" s="34">
        <v>0.40625</v>
      </c>
      <c r="Y14" s="31"/>
    </row>
    <row r="15" spans="1:35" ht="12.75" x14ac:dyDescent="0.2">
      <c r="A15" s="30">
        <v>46029</v>
      </c>
      <c r="B15" s="31" t="s">
        <v>69</v>
      </c>
      <c r="C15" s="31">
        <v>1</v>
      </c>
      <c r="D15" s="31" t="s">
        <v>60</v>
      </c>
      <c r="E15" s="31" t="s">
        <v>61</v>
      </c>
      <c r="F15" s="48">
        <v>21523144</v>
      </c>
      <c r="G15" s="31" t="s">
        <v>91</v>
      </c>
      <c r="H15" s="31" t="s">
        <v>62</v>
      </c>
      <c r="I15" s="31">
        <v>50</v>
      </c>
      <c r="J15" s="31" t="s">
        <v>63</v>
      </c>
      <c r="K15" s="31" t="s">
        <v>63</v>
      </c>
      <c r="L15" s="31" t="s">
        <v>54</v>
      </c>
      <c r="M15" s="31" t="s">
        <v>54</v>
      </c>
      <c r="N15" s="31" t="s">
        <v>64</v>
      </c>
      <c r="O15" s="31" t="s">
        <v>56</v>
      </c>
      <c r="P15" s="31" t="s">
        <v>50</v>
      </c>
      <c r="Q15" s="31">
        <v>90874</v>
      </c>
      <c r="R15" s="31" t="s">
        <v>57</v>
      </c>
      <c r="S15" s="31" t="s">
        <v>65</v>
      </c>
      <c r="T15" s="31" t="s">
        <v>66</v>
      </c>
      <c r="U15" s="31" t="s">
        <v>58</v>
      </c>
      <c r="V15" s="30">
        <v>46029</v>
      </c>
      <c r="W15" s="34">
        <v>0.41666666666666669</v>
      </c>
      <c r="X15" s="34">
        <v>0.4375</v>
      </c>
      <c r="Y15" s="31"/>
    </row>
    <row r="16" spans="1:35" ht="12.75" x14ac:dyDescent="0.2">
      <c r="A16" s="30">
        <v>46029</v>
      </c>
      <c r="B16" s="31" t="s">
        <v>92</v>
      </c>
      <c r="C16" s="31">
        <v>1</v>
      </c>
      <c r="D16" s="31" t="s">
        <v>60</v>
      </c>
      <c r="E16" s="31" t="s">
        <v>61</v>
      </c>
      <c r="F16" s="31">
        <v>21523144</v>
      </c>
      <c r="G16" s="31">
        <v>61807519</v>
      </c>
      <c r="H16" s="31" t="s">
        <v>62</v>
      </c>
      <c r="I16" s="31">
        <v>18</v>
      </c>
      <c r="J16" s="31" t="s">
        <v>50</v>
      </c>
      <c r="K16" s="31" t="s">
        <v>63</v>
      </c>
      <c r="L16" s="31" t="s">
        <v>54</v>
      </c>
      <c r="M16" s="31" t="s">
        <v>54</v>
      </c>
      <c r="N16" s="31" t="s">
        <v>64</v>
      </c>
      <c r="O16" s="31" t="s">
        <v>56</v>
      </c>
      <c r="P16" s="31" t="s">
        <v>50</v>
      </c>
      <c r="Q16" s="31">
        <v>90874</v>
      </c>
      <c r="R16" s="31" t="s">
        <v>57</v>
      </c>
      <c r="S16" s="31" t="s">
        <v>65</v>
      </c>
      <c r="T16" s="31" t="s">
        <v>66</v>
      </c>
      <c r="U16" s="31" t="s">
        <v>58</v>
      </c>
      <c r="V16" s="30">
        <v>46029</v>
      </c>
      <c r="W16" s="34">
        <v>0.4375</v>
      </c>
      <c r="X16" s="34">
        <v>0.45833333333333331</v>
      </c>
      <c r="Y16" s="31"/>
    </row>
    <row r="17" spans="1:25" ht="12.75" x14ac:dyDescent="0.2">
      <c r="A17" s="30">
        <v>46029</v>
      </c>
      <c r="B17" s="31" t="s">
        <v>93</v>
      </c>
      <c r="C17" s="31">
        <v>1</v>
      </c>
      <c r="D17" s="31" t="s">
        <v>60</v>
      </c>
      <c r="E17" s="31" t="s">
        <v>94</v>
      </c>
      <c r="F17" s="31" t="s">
        <v>95</v>
      </c>
      <c r="G17" s="31">
        <v>40178373</v>
      </c>
      <c r="H17" s="31" t="s">
        <v>73</v>
      </c>
      <c r="I17" s="31">
        <v>47</v>
      </c>
      <c r="J17" s="31" t="s">
        <v>63</v>
      </c>
      <c r="K17" s="31" t="s">
        <v>63</v>
      </c>
      <c r="L17" s="31" t="s">
        <v>54</v>
      </c>
      <c r="M17" s="31" t="s">
        <v>54</v>
      </c>
      <c r="N17" s="31" t="s">
        <v>96</v>
      </c>
      <c r="O17" s="31" t="s">
        <v>56</v>
      </c>
      <c r="P17" s="31" t="s">
        <v>50</v>
      </c>
      <c r="Q17" s="31">
        <v>29870</v>
      </c>
      <c r="R17" s="31" t="s">
        <v>57</v>
      </c>
      <c r="S17" s="31" t="s">
        <v>65</v>
      </c>
      <c r="T17" s="31" t="s">
        <v>58</v>
      </c>
      <c r="U17" s="31" t="s">
        <v>58</v>
      </c>
      <c r="V17" s="30">
        <v>46029</v>
      </c>
      <c r="W17" s="34">
        <v>0.34027777777777779</v>
      </c>
      <c r="X17" s="34">
        <v>0.43055555555555558</v>
      </c>
      <c r="Y17" s="31"/>
    </row>
    <row r="18" spans="1:25" ht="12.75" x14ac:dyDescent="0.2">
      <c r="A18" s="30">
        <v>46029</v>
      </c>
      <c r="B18" s="31" t="s">
        <v>97</v>
      </c>
      <c r="C18" s="31">
        <v>1</v>
      </c>
      <c r="D18" s="31" t="s">
        <v>50</v>
      </c>
      <c r="E18" s="31" t="s">
        <v>98</v>
      </c>
      <c r="F18" s="31">
        <v>44897100</v>
      </c>
      <c r="G18" s="31">
        <v>631117412</v>
      </c>
      <c r="H18" s="31" t="s">
        <v>73</v>
      </c>
      <c r="I18" s="31">
        <v>29</v>
      </c>
      <c r="J18" s="31" t="s">
        <v>50</v>
      </c>
      <c r="K18" s="31" t="s">
        <v>70</v>
      </c>
      <c r="L18" s="31" t="s">
        <v>54</v>
      </c>
      <c r="M18" s="31" t="s">
        <v>54</v>
      </c>
      <c r="N18" s="31" t="s">
        <v>99</v>
      </c>
      <c r="O18" s="31" t="s">
        <v>56</v>
      </c>
      <c r="P18" s="31" t="s">
        <v>81</v>
      </c>
      <c r="Q18" s="31">
        <v>26766</v>
      </c>
      <c r="R18" s="31" t="s">
        <v>57</v>
      </c>
      <c r="S18" s="31" t="s">
        <v>65</v>
      </c>
      <c r="T18" s="31" t="s">
        <v>58</v>
      </c>
      <c r="U18" s="31" t="s">
        <v>58</v>
      </c>
      <c r="V18" s="30">
        <v>46029</v>
      </c>
      <c r="W18" s="34">
        <v>0.4513888888888889</v>
      </c>
      <c r="X18" s="34">
        <v>0.58333333333333337</v>
      </c>
      <c r="Y18" s="31"/>
    </row>
    <row r="19" spans="1:25" ht="12.75" x14ac:dyDescent="0.2">
      <c r="A19" s="30">
        <v>46029</v>
      </c>
      <c r="B19" s="31" t="s">
        <v>100</v>
      </c>
      <c r="C19" s="31">
        <v>1</v>
      </c>
      <c r="D19" s="31" t="s">
        <v>60</v>
      </c>
      <c r="E19" s="31" t="s">
        <v>101</v>
      </c>
      <c r="F19" s="31">
        <v>46041788</v>
      </c>
      <c r="G19" s="31">
        <v>44251084</v>
      </c>
      <c r="H19" s="31" t="s">
        <v>73</v>
      </c>
      <c r="I19" s="31">
        <v>67</v>
      </c>
      <c r="J19" s="31" t="s">
        <v>50</v>
      </c>
      <c r="K19" s="31" t="s">
        <v>70</v>
      </c>
      <c r="L19" s="31" t="s">
        <v>54</v>
      </c>
      <c r="M19" s="31" t="s">
        <v>54</v>
      </c>
      <c r="N19" s="31" t="s">
        <v>102</v>
      </c>
      <c r="O19" s="31" t="s">
        <v>56</v>
      </c>
      <c r="P19" s="31" t="s">
        <v>81</v>
      </c>
      <c r="Q19" s="31">
        <v>29880</v>
      </c>
      <c r="R19" s="31" t="s">
        <v>57</v>
      </c>
      <c r="S19" s="31" t="s">
        <v>65</v>
      </c>
      <c r="T19" s="31" t="s">
        <v>58</v>
      </c>
      <c r="U19" s="31" t="s">
        <v>58</v>
      </c>
      <c r="V19" s="30">
        <v>46029</v>
      </c>
      <c r="W19" s="34">
        <v>0.61111111111111116</v>
      </c>
      <c r="X19" s="34">
        <v>0.63194444444444442</v>
      </c>
      <c r="Y19" s="31"/>
    </row>
    <row r="20" spans="1:25" ht="12.75" x14ac:dyDescent="0.2">
      <c r="A20" s="30">
        <v>46029</v>
      </c>
      <c r="B20" s="31" t="s">
        <v>59</v>
      </c>
      <c r="C20" s="31">
        <v>1</v>
      </c>
      <c r="D20" s="31" t="s">
        <v>50</v>
      </c>
      <c r="E20" s="31" t="s">
        <v>78</v>
      </c>
      <c r="F20" s="48">
        <v>43403659</v>
      </c>
      <c r="G20" s="31">
        <v>43261327</v>
      </c>
      <c r="H20" s="31" t="s">
        <v>79</v>
      </c>
      <c r="I20" s="31">
        <v>40</v>
      </c>
      <c r="J20" s="31" t="s">
        <v>50</v>
      </c>
      <c r="K20" s="31" t="s">
        <v>103</v>
      </c>
      <c r="L20" s="31" t="s">
        <v>76</v>
      </c>
      <c r="M20" s="31" t="s">
        <v>54</v>
      </c>
      <c r="N20" s="31" t="s">
        <v>80</v>
      </c>
      <c r="O20" s="31" t="s">
        <v>56</v>
      </c>
      <c r="P20" s="31" t="s">
        <v>81</v>
      </c>
      <c r="Q20" s="31">
        <v>30520</v>
      </c>
      <c r="R20" s="31" t="s">
        <v>57</v>
      </c>
      <c r="S20" s="31" t="s">
        <v>65</v>
      </c>
      <c r="T20" s="31" t="s">
        <v>66</v>
      </c>
      <c r="U20" s="31" t="s">
        <v>58</v>
      </c>
      <c r="V20" s="30">
        <v>46029</v>
      </c>
      <c r="W20" s="34">
        <v>0.35416666666666669</v>
      </c>
      <c r="X20" s="34">
        <v>0.4375</v>
      </c>
      <c r="Y20" s="31"/>
    </row>
    <row r="21" spans="1:25" ht="12.75" x14ac:dyDescent="0.2">
      <c r="A21" s="30">
        <v>46029</v>
      </c>
      <c r="B21" s="31" t="s">
        <v>67</v>
      </c>
      <c r="C21" s="31">
        <v>1</v>
      </c>
      <c r="D21" s="31" t="s">
        <v>50</v>
      </c>
      <c r="E21" s="31" t="s">
        <v>78</v>
      </c>
      <c r="F21" s="31">
        <v>43403659</v>
      </c>
      <c r="G21" s="31">
        <v>70860819</v>
      </c>
      <c r="H21" s="31" t="s">
        <v>104</v>
      </c>
      <c r="I21" s="31">
        <v>22</v>
      </c>
      <c r="J21" s="31" t="s">
        <v>50</v>
      </c>
      <c r="K21" s="31" t="s">
        <v>58</v>
      </c>
      <c r="L21" s="31" t="s">
        <v>76</v>
      </c>
      <c r="M21" s="31" t="s">
        <v>54</v>
      </c>
      <c r="N21" s="31" t="s">
        <v>80</v>
      </c>
      <c r="O21" s="31" t="s">
        <v>56</v>
      </c>
      <c r="P21" s="31" t="s">
        <v>81</v>
      </c>
      <c r="Q21" s="31">
        <v>30520</v>
      </c>
      <c r="R21" s="31" t="s">
        <v>57</v>
      </c>
      <c r="S21" s="31" t="s">
        <v>65</v>
      </c>
      <c r="T21" s="31" t="s">
        <v>66</v>
      </c>
      <c r="U21" s="31" t="s">
        <v>58</v>
      </c>
      <c r="V21" s="30">
        <v>46029</v>
      </c>
      <c r="W21" s="34">
        <v>0.4513888888888889</v>
      </c>
      <c r="X21" s="34">
        <v>0.54166666666666663</v>
      </c>
      <c r="Y21" s="31"/>
    </row>
    <row r="22" spans="1:25" ht="12.75" x14ac:dyDescent="0.2">
      <c r="A22" s="30">
        <v>46029</v>
      </c>
      <c r="B22" s="31" t="s">
        <v>59</v>
      </c>
      <c r="C22" s="31">
        <v>1</v>
      </c>
      <c r="D22" s="31" t="s">
        <v>50</v>
      </c>
      <c r="E22" s="31" t="s">
        <v>105</v>
      </c>
      <c r="F22" s="31">
        <v>18174396</v>
      </c>
      <c r="G22" s="31">
        <v>6951180</v>
      </c>
      <c r="H22" s="31" t="s">
        <v>106</v>
      </c>
      <c r="I22" s="31">
        <v>61</v>
      </c>
      <c r="J22" s="31" t="s">
        <v>63</v>
      </c>
      <c r="K22" s="31" t="s">
        <v>63</v>
      </c>
      <c r="L22" s="31" t="s">
        <v>54</v>
      </c>
      <c r="M22" s="31" t="s">
        <v>54</v>
      </c>
      <c r="N22" s="31" t="s">
        <v>107</v>
      </c>
      <c r="O22" s="31" t="s">
        <v>56</v>
      </c>
      <c r="P22" s="31" t="s">
        <v>50</v>
      </c>
      <c r="Q22" s="31">
        <v>37765</v>
      </c>
      <c r="R22" s="31" t="s">
        <v>57</v>
      </c>
      <c r="S22" s="31" t="s">
        <v>65</v>
      </c>
      <c r="T22" s="31" t="s">
        <v>58</v>
      </c>
      <c r="U22" s="31" t="s">
        <v>58</v>
      </c>
      <c r="V22" s="30">
        <v>46029</v>
      </c>
      <c r="W22" s="34">
        <v>0.375</v>
      </c>
      <c r="X22" s="34">
        <v>0.5</v>
      </c>
      <c r="Y22" s="31"/>
    </row>
    <row r="23" spans="1:25" ht="12.75" x14ac:dyDescent="0.2">
      <c r="A23" s="30">
        <v>46029</v>
      </c>
      <c r="B23" s="31" t="s">
        <v>67</v>
      </c>
      <c r="C23" s="31">
        <v>1</v>
      </c>
      <c r="D23" s="31" t="s">
        <v>50</v>
      </c>
      <c r="E23" s="31" t="s">
        <v>105</v>
      </c>
      <c r="F23" s="31">
        <v>18174396</v>
      </c>
      <c r="G23" s="31">
        <v>43753344</v>
      </c>
      <c r="H23" s="31" t="s">
        <v>106</v>
      </c>
      <c r="I23" s="31">
        <v>59</v>
      </c>
      <c r="J23" s="31" t="s">
        <v>50</v>
      </c>
      <c r="K23" s="31" t="s">
        <v>103</v>
      </c>
      <c r="L23" s="31" t="s">
        <v>58</v>
      </c>
      <c r="M23" s="31" t="s">
        <v>54</v>
      </c>
      <c r="N23" s="31" t="s">
        <v>107</v>
      </c>
      <c r="O23" s="31" t="s">
        <v>56</v>
      </c>
      <c r="P23" s="31" t="s">
        <v>81</v>
      </c>
      <c r="Q23" s="31">
        <v>37220</v>
      </c>
      <c r="R23" s="31" t="s">
        <v>57</v>
      </c>
      <c r="S23" s="31" t="s">
        <v>65</v>
      </c>
      <c r="T23" s="31" t="s">
        <v>58</v>
      </c>
      <c r="U23" s="31" t="s">
        <v>58</v>
      </c>
      <c r="V23" s="30">
        <v>46029</v>
      </c>
      <c r="W23" s="34">
        <v>0.52777777777777779</v>
      </c>
      <c r="X23" s="34">
        <v>0.60416666666666663</v>
      </c>
      <c r="Y23" s="31"/>
    </row>
    <row r="24" spans="1:25" ht="12.75" x14ac:dyDescent="0.2">
      <c r="A24" s="30">
        <v>46029</v>
      </c>
      <c r="B24" s="31" t="s">
        <v>93</v>
      </c>
      <c r="C24" s="31">
        <v>1</v>
      </c>
      <c r="D24" s="31" t="s">
        <v>60</v>
      </c>
      <c r="E24" s="31" t="s">
        <v>108</v>
      </c>
      <c r="F24" s="31">
        <v>25542321</v>
      </c>
      <c r="G24" s="31">
        <v>2837631</v>
      </c>
      <c r="H24" s="31" t="s">
        <v>52</v>
      </c>
      <c r="I24" s="31">
        <v>56</v>
      </c>
      <c r="J24" s="31" t="s">
        <v>50</v>
      </c>
      <c r="K24" s="31" t="s">
        <v>103</v>
      </c>
      <c r="L24" s="31" t="s">
        <v>54</v>
      </c>
      <c r="M24" s="31" t="s">
        <v>54</v>
      </c>
      <c r="N24" s="31" t="s">
        <v>109</v>
      </c>
      <c r="O24" s="31" t="s">
        <v>56</v>
      </c>
      <c r="P24" s="31" t="s">
        <v>81</v>
      </c>
      <c r="Q24" s="31">
        <v>47562</v>
      </c>
      <c r="R24" s="31" t="s">
        <v>57</v>
      </c>
      <c r="S24" s="31" t="s">
        <v>65</v>
      </c>
      <c r="T24" s="31" t="s">
        <v>58</v>
      </c>
      <c r="U24" s="31" t="s">
        <v>58</v>
      </c>
      <c r="V24" s="30">
        <v>46029</v>
      </c>
      <c r="W24" s="34">
        <v>0.33333333333333331</v>
      </c>
      <c r="X24" s="34">
        <v>0.45833333333333331</v>
      </c>
      <c r="Y24" s="31"/>
    </row>
    <row r="25" spans="1:25" ht="12.75" x14ac:dyDescent="0.2">
      <c r="A25" s="30">
        <v>46029</v>
      </c>
      <c r="B25" s="31" t="s">
        <v>97</v>
      </c>
      <c r="C25" s="31">
        <v>1</v>
      </c>
      <c r="D25" s="31" t="s">
        <v>60</v>
      </c>
      <c r="E25" s="31" t="s">
        <v>110</v>
      </c>
      <c r="F25" s="31">
        <v>23928859</v>
      </c>
      <c r="G25" s="31">
        <v>70227369</v>
      </c>
      <c r="H25" s="31" t="s">
        <v>52</v>
      </c>
      <c r="I25" s="31">
        <v>32</v>
      </c>
      <c r="J25" s="31" t="s">
        <v>50</v>
      </c>
      <c r="K25" s="31" t="s">
        <v>103</v>
      </c>
      <c r="L25" s="31" t="s">
        <v>54</v>
      </c>
      <c r="M25" s="31" t="s">
        <v>54</v>
      </c>
      <c r="N25" s="31" t="s">
        <v>111</v>
      </c>
      <c r="O25" s="31" t="s">
        <v>56</v>
      </c>
      <c r="P25" s="31" t="s">
        <v>81</v>
      </c>
      <c r="Q25" s="31">
        <v>43644</v>
      </c>
      <c r="R25" s="31" t="s">
        <v>57</v>
      </c>
      <c r="S25" s="31" t="s">
        <v>65</v>
      </c>
      <c r="T25" s="31" t="s">
        <v>58</v>
      </c>
      <c r="U25" s="31" t="s">
        <v>58</v>
      </c>
      <c r="V25" s="30">
        <v>46029</v>
      </c>
      <c r="W25" s="34">
        <v>0.5</v>
      </c>
      <c r="X25" s="34">
        <v>0.58333333333333337</v>
      </c>
      <c r="Y25" s="31"/>
    </row>
    <row r="26" spans="1:25" ht="12.75" x14ac:dyDescent="0.2">
      <c r="A26" s="30">
        <v>46029</v>
      </c>
      <c r="B26" s="31" t="s">
        <v>100</v>
      </c>
      <c r="C26" s="31">
        <v>1</v>
      </c>
      <c r="D26" s="31" t="s">
        <v>60</v>
      </c>
      <c r="E26" s="31" t="s">
        <v>110</v>
      </c>
      <c r="F26" s="48">
        <v>23928859</v>
      </c>
      <c r="G26" s="48">
        <v>25796321</v>
      </c>
      <c r="H26" s="31" t="s">
        <v>52</v>
      </c>
      <c r="I26" s="31">
        <v>50</v>
      </c>
      <c r="J26" s="31" t="s">
        <v>50</v>
      </c>
      <c r="K26" s="31" t="s">
        <v>103</v>
      </c>
      <c r="L26" s="31" t="s">
        <v>54</v>
      </c>
      <c r="M26" s="31" t="s">
        <v>54</v>
      </c>
      <c r="N26" s="31" t="s">
        <v>109</v>
      </c>
      <c r="O26" s="31" t="s">
        <v>56</v>
      </c>
      <c r="P26" s="31" t="s">
        <v>81</v>
      </c>
      <c r="Q26" s="31">
        <v>47562</v>
      </c>
      <c r="R26" s="31" t="s">
        <v>57</v>
      </c>
      <c r="S26" s="31" t="s">
        <v>65</v>
      </c>
      <c r="T26" s="31" t="s">
        <v>58</v>
      </c>
      <c r="U26" s="31" t="s">
        <v>58</v>
      </c>
      <c r="V26" s="30">
        <v>46029</v>
      </c>
      <c r="W26" s="34">
        <v>0.625</v>
      </c>
      <c r="X26" s="34">
        <v>0.66666666666666663</v>
      </c>
      <c r="Y26" s="31"/>
    </row>
    <row r="27" spans="1:25" ht="12.75" x14ac:dyDescent="0.2">
      <c r="A27" s="30">
        <v>46028</v>
      </c>
      <c r="B27" s="31" t="s">
        <v>49</v>
      </c>
      <c r="C27" s="31">
        <v>1</v>
      </c>
      <c r="D27" s="31" t="s">
        <v>50</v>
      </c>
      <c r="E27" s="31" t="s">
        <v>87</v>
      </c>
      <c r="F27" s="31">
        <v>45125864</v>
      </c>
      <c r="G27" s="48">
        <v>7471332</v>
      </c>
      <c r="H27" s="31" t="s">
        <v>88</v>
      </c>
      <c r="I27" s="31">
        <v>63</v>
      </c>
      <c r="J27" s="31" t="s">
        <v>50</v>
      </c>
      <c r="K27" s="31" t="s">
        <v>103</v>
      </c>
      <c r="L27" s="31" t="s">
        <v>54</v>
      </c>
      <c r="M27" s="31" t="s">
        <v>54</v>
      </c>
      <c r="N27" s="31" t="s">
        <v>112</v>
      </c>
      <c r="O27" s="31" t="s">
        <v>56</v>
      </c>
      <c r="P27" s="31" t="s">
        <v>81</v>
      </c>
      <c r="Q27" s="31">
        <v>61590</v>
      </c>
      <c r="R27" s="31" t="s">
        <v>57</v>
      </c>
      <c r="S27" s="31" t="s">
        <v>57</v>
      </c>
      <c r="T27" s="31" t="s">
        <v>58</v>
      </c>
      <c r="U27" s="31" t="s">
        <v>58</v>
      </c>
      <c r="V27" s="30">
        <v>46028</v>
      </c>
      <c r="W27" s="34">
        <v>0.67500000000000004</v>
      </c>
      <c r="X27" s="34">
        <v>0.85416666666666663</v>
      </c>
      <c r="Y27" s="31"/>
    </row>
    <row r="28" spans="1:25" ht="12.75" x14ac:dyDescent="0.2">
      <c r="A28" s="30">
        <v>46029</v>
      </c>
      <c r="B28" s="31" t="s">
        <v>49</v>
      </c>
      <c r="C28" s="31">
        <v>1</v>
      </c>
      <c r="D28" s="31" t="s">
        <v>60</v>
      </c>
      <c r="E28" s="31" t="s">
        <v>110</v>
      </c>
      <c r="F28" s="31">
        <v>23928859</v>
      </c>
      <c r="G28" s="31">
        <v>48487842</v>
      </c>
      <c r="H28" s="31" t="s">
        <v>52</v>
      </c>
      <c r="I28" s="31">
        <v>32</v>
      </c>
      <c r="J28" s="31" t="s">
        <v>50</v>
      </c>
      <c r="K28" s="31" t="s">
        <v>53</v>
      </c>
      <c r="L28" s="31" t="s">
        <v>76</v>
      </c>
      <c r="M28" s="31" t="s">
        <v>54</v>
      </c>
      <c r="N28" s="31" t="s">
        <v>113</v>
      </c>
      <c r="O28" s="31" t="s">
        <v>56</v>
      </c>
      <c r="P28" s="31" t="s">
        <v>81</v>
      </c>
      <c r="Q28" s="31">
        <v>44970</v>
      </c>
      <c r="R28" s="31" t="s">
        <v>57</v>
      </c>
      <c r="S28" s="31" t="s">
        <v>57</v>
      </c>
      <c r="T28" s="31" t="s">
        <v>58</v>
      </c>
      <c r="U28" s="31" t="s">
        <v>58</v>
      </c>
      <c r="V28" s="30">
        <v>46029</v>
      </c>
      <c r="W28" s="34">
        <v>0.79861111111111116</v>
      </c>
      <c r="X28" s="34">
        <v>0.875</v>
      </c>
      <c r="Y28" s="31"/>
    </row>
    <row r="29" spans="1:25" ht="12.75" x14ac:dyDescent="0.2">
      <c r="A29" s="30">
        <v>46030</v>
      </c>
      <c r="B29" s="31" t="s">
        <v>59</v>
      </c>
      <c r="C29" s="31">
        <v>1</v>
      </c>
      <c r="D29" s="31" t="s">
        <v>60</v>
      </c>
      <c r="E29" s="31" t="s">
        <v>61</v>
      </c>
      <c r="F29" s="48">
        <v>21523144</v>
      </c>
      <c r="G29" s="48" t="s">
        <v>91</v>
      </c>
      <c r="H29" s="31" t="s">
        <v>62</v>
      </c>
      <c r="I29" s="31">
        <v>50</v>
      </c>
      <c r="J29" s="31" t="s">
        <v>63</v>
      </c>
      <c r="K29" s="31" t="s">
        <v>63</v>
      </c>
      <c r="L29" s="31" t="s">
        <v>54</v>
      </c>
      <c r="M29" s="31" t="s">
        <v>54</v>
      </c>
      <c r="N29" s="31" t="s">
        <v>64</v>
      </c>
      <c r="O29" s="31" t="s">
        <v>56</v>
      </c>
      <c r="P29" s="31" t="s">
        <v>50</v>
      </c>
      <c r="Q29" s="31">
        <v>90874</v>
      </c>
      <c r="R29" s="31" t="s">
        <v>57</v>
      </c>
      <c r="S29" s="31" t="s">
        <v>65</v>
      </c>
      <c r="T29" s="31" t="s">
        <v>66</v>
      </c>
      <c r="U29" s="31" t="s">
        <v>58</v>
      </c>
      <c r="V29" s="30">
        <v>46030</v>
      </c>
      <c r="W29" s="34">
        <v>0.33333333333333331</v>
      </c>
      <c r="X29" s="34">
        <v>0.35416666666666669</v>
      </c>
      <c r="Y29" s="31"/>
    </row>
    <row r="30" spans="1:25" ht="12.75" x14ac:dyDescent="0.2">
      <c r="A30" s="30">
        <v>46030</v>
      </c>
      <c r="B30" s="31" t="s">
        <v>59</v>
      </c>
      <c r="C30" s="31">
        <v>1</v>
      </c>
      <c r="D30" s="31" t="s">
        <v>50</v>
      </c>
      <c r="E30" s="31" t="s">
        <v>114</v>
      </c>
      <c r="F30" s="31">
        <v>18174396</v>
      </c>
      <c r="G30" s="48">
        <v>10369355</v>
      </c>
      <c r="H30" s="31" t="s">
        <v>115</v>
      </c>
      <c r="I30" s="31">
        <v>63</v>
      </c>
      <c r="J30" s="31" t="s">
        <v>63</v>
      </c>
      <c r="K30" s="31" t="s">
        <v>63</v>
      </c>
      <c r="L30" s="31" t="s">
        <v>54</v>
      </c>
      <c r="M30" s="31" t="s">
        <v>54</v>
      </c>
      <c r="N30" s="31" t="s">
        <v>116</v>
      </c>
      <c r="O30" s="31" t="s">
        <v>56</v>
      </c>
      <c r="P30" s="31" t="s">
        <v>81</v>
      </c>
      <c r="Q30" s="31">
        <v>36561</v>
      </c>
      <c r="R30" s="31" t="s">
        <v>57</v>
      </c>
      <c r="S30" s="31" t="s">
        <v>65</v>
      </c>
      <c r="T30" s="31" t="s">
        <v>66</v>
      </c>
      <c r="U30" s="31" t="s">
        <v>58</v>
      </c>
      <c r="V30" s="30">
        <v>46030</v>
      </c>
      <c r="W30" s="34">
        <v>0.36458333333333331</v>
      </c>
      <c r="X30" s="34">
        <v>0.43055555555555558</v>
      </c>
      <c r="Y30" s="31"/>
    </row>
    <row r="31" spans="1:25" ht="12.75" x14ac:dyDescent="0.2">
      <c r="A31" s="30">
        <v>46030</v>
      </c>
      <c r="B31" s="31" t="s">
        <v>59</v>
      </c>
      <c r="C31" s="31">
        <v>1</v>
      </c>
      <c r="D31" s="31" t="s">
        <v>50</v>
      </c>
      <c r="E31" s="31" t="s">
        <v>117</v>
      </c>
      <c r="F31" s="48">
        <v>42948211</v>
      </c>
      <c r="G31" s="31">
        <v>32405798</v>
      </c>
      <c r="H31" s="31" t="s">
        <v>88</v>
      </c>
      <c r="I31" s="31">
        <v>66</v>
      </c>
      <c r="J31" s="31" t="s">
        <v>50</v>
      </c>
      <c r="K31" s="31" t="s">
        <v>63</v>
      </c>
      <c r="L31" s="31" t="s">
        <v>54</v>
      </c>
      <c r="M31" s="31" t="s">
        <v>54</v>
      </c>
      <c r="N31" s="31" t="s">
        <v>118</v>
      </c>
      <c r="O31" s="31" t="s">
        <v>56</v>
      </c>
      <c r="P31" s="31" t="s">
        <v>81</v>
      </c>
      <c r="Q31" s="31">
        <v>64635</v>
      </c>
      <c r="R31" s="31" t="s">
        <v>57</v>
      </c>
      <c r="S31" s="31" t="s">
        <v>65</v>
      </c>
      <c r="T31" s="31" t="s">
        <v>58</v>
      </c>
      <c r="U31" s="31" t="s">
        <v>58</v>
      </c>
      <c r="V31" s="30">
        <v>46030</v>
      </c>
      <c r="W31" s="34">
        <v>0.36458333333333331</v>
      </c>
      <c r="X31" s="34">
        <v>0.4375</v>
      </c>
      <c r="Y31" s="31"/>
    </row>
    <row r="32" spans="1:25" ht="12.75" x14ac:dyDescent="0.2">
      <c r="A32" s="30">
        <v>46030</v>
      </c>
      <c r="B32" s="31" t="s">
        <v>67</v>
      </c>
      <c r="C32" s="31">
        <v>1</v>
      </c>
      <c r="D32" s="31" t="s">
        <v>50</v>
      </c>
      <c r="E32" s="31" t="s">
        <v>117</v>
      </c>
      <c r="F32" s="31">
        <v>42948211</v>
      </c>
      <c r="G32" s="31">
        <v>40309878</v>
      </c>
      <c r="H32" s="31" t="s">
        <v>88</v>
      </c>
      <c r="I32" s="31">
        <v>50</v>
      </c>
      <c r="J32" s="31" t="s">
        <v>50</v>
      </c>
      <c r="K32" s="31" t="s">
        <v>58</v>
      </c>
      <c r="L32" s="31" t="s">
        <v>54</v>
      </c>
      <c r="M32" s="31" t="s">
        <v>56</v>
      </c>
      <c r="N32" s="31" t="s">
        <v>118</v>
      </c>
      <c r="O32" s="31" t="s">
        <v>56</v>
      </c>
      <c r="P32" s="31" t="s">
        <v>81</v>
      </c>
      <c r="Q32" s="31">
        <v>64493</v>
      </c>
      <c r="R32" s="31" t="s">
        <v>57</v>
      </c>
      <c r="S32" s="31" t="s">
        <v>65</v>
      </c>
      <c r="T32" s="31" t="s">
        <v>58</v>
      </c>
      <c r="U32" s="31" t="s">
        <v>58</v>
      </c>
      <c r="V32" s="30">
        <v>46030</v>
      </c>
      <c r="W32" s="34">
        <v>0.45833333333333331</v>
      </c>
      <c r="X32" s="34">
        <v>0.54166666666666663</v>
      </c>
      <c r="Y32" s="31"/>
    </row>
    <row r="33" spans="1:25" ht="12.75" x14ac:dyDescent="0.2">
      <c r="A33" s="30">
        <v>46030</v>
      </c>
      <c r="B33" s="31" t="s">
        <v>59</v>
      </c>
      <c r="C33" s="31">
        <v>1</v>
      </c>
      <c r="D33" s="31" t="s">
        <v>50</v>
      </c>
      <c r="E33" s="31" t="s">
        <v>119</v>
      </c>
      <c r="F33" s="31">
        <v>16654486</v>
      </c>
      <c r="G33" s="31">
        <v>10801506</v>
      </c>
      <c r="H33" s="31" t="s">
        <v>83</v>
      </c>
      <c r="I33" s="31">
        <v>78</v>
      </c>
      <c r="J33" s="31" t="s">
        <v>50</v>
      </c>
      <c r="K33" s="31" t="s">
        <v>103</v>
      </c>
      <c r="L33" s="31" t="s">
        <v>54</v>
      </c>
      <c r="M33" s="31" t="s">
        <v>54</v>
      </c>
      <c r="N33" s="31" t="s">
        <v>84</v>
      </c>
      <c r="O33" s="31" t="s">
        <v>56</v>
      </c>
      <c r="P33" s="31" t="s">
        <v>81</v>
      </c>
      <c r="Q33" s="31">
        <v>52649</v>
      </c>
      <c r="R33" s="31" t="s">
        <v>57</v>
      </c>
      <c r="S33" s="31" t="s">
        <v>65</v>
      </c>
      <c r="T33" s="31" t="s">
        <v>58</v>
      </c>
      <c r="U33" s="31" t="s">
        <v>58</v>
      </c>
      <c r="V33" s="30">
        <v>46030</v>
      </c>
      <c r="W33" s="34">
        <v>0.33680555555555558</v>
      </c>
      <c r="X33" s="34">
        <v>0.46180555555555558</v>
      </c>
      <c r="Y33" s="31"/>
    </row>
    <row r="34" spans="1:25" ht="12.75" x14ac:dyDescent="0.2">
      <c r="A34" s="30">
        <v>46030</v>
      </c>
      <c r="B34" s="31" t="s">
        <v>67</v>
      </c>
      <c r="C34" s="31">
        <v>1</v>
      </c>
      <c r="D34" s="31" t="s">
        <v>50</v>
      </c>
      <c r="E34" s="31" t="s">
        <v>120</v>
      </c>
      <c r="F34" s="31">
        <v>42111744</v>
      </c>
      <c r="G34" s="31">
        <v>43661308</v>
      </c>
      <c r="H34" s="31" t="s">
        <v>83</v>
      </c>
      <c r="I34" s="31">
        <v>81</v>
      </c>
      <c r="J34" s="31" t="s">
        <v>50</v>
      </c>
      <c r="K34" s="31" t="s">
        <v>53</v>
      </c>
      <c r="L34" s="31" t="s">
        <v>54</v>
      </c>
      <c r="M34" s="31" t="s">
        <v>54</v>
      </c>
      <c r="N34" s="31" t="s">
        <v>84</v>
      </c>
      <c r="O34" s="31" t="s">
        <v>56</v>
      </c>
      <c r="P34" s="31" t="s">
        <v>81</v>
      </c>
      <c r="Q34" s="31">
        <v>55840</v>
      </c>
      <c r="R34" s="31" t="s">
        <v>57</v>
      </c>
      <c r="S34" s="31" t="s">
        <v>65</v>
      </c>
      <c r="T34" s="31" t="s">
        <v>58</v>
      </c>
      <c r="U34" s="31" t="s">
        <v>58</v>
      </c>
      <c r="V34" s="30">
        <v>46030</v>
      </c>
      <c r="W34" s="34">
        <v>0.47916666666666669</v>
      </c>
      <c r="X34" s="34">
        <v>0.64236111111111116</v>
      </c>
      <c r="Y34" s="31"/>
    </row>
    <row r="35" spans="1:25" ht="12.75" x14ac:dyDescent="0.2">
      <c r="A35" s="30">
        <v>46030</v>
      </c>
      <c r="B35" s="31" t="s">
        <v>59</v>
      </c>
      <c r="C35" s="31">
        <v>1</v>
      </c>
      <c r="D35" s="31" t="s">
        <v>60</v>
      </c>
      <c r="E35" s="31" t="s">
        <v>101</v>
      </c>
      <c r="F35" s="48">
        <v>46041788</v>
      </c>
      <c r="G35" s="31">
        <v>40861422</v>
      </c>
      <c r="H35" s="31" t="s">
        <v>121</v>
      </c>
      <c r="I35" s="31">
        <v>84</v>
      </c>
      <c r="J35" s="31" t="s">
        <v>50</v>
      </c>
      <c r="K35" s="31" t="s">
        <v>53</v>
      </c>
      <c r="L35" s="31" t="s">
        <v>54</v>
      </c>
      <c r="M35" s="31" t="s">
        <v>54</v>
      </c>
      <c r="N35" s="31">
        <v>210301</v>
      </c>
      <c r="O35" s="31" t="s">
        <v>56</v>
      </c>
      <c r="P35" s="31" t="s">
        <v>81</v>
      </c>
      <c r="Q35" s="31" t="s">
        <v>122</v>
      </c>
      <c r="R35" s="31" t="s">
        <v>57</v>
      </c>
      <c r="S35" s="31" t="s">
        <v>65</v>
      </c>
      <c r="T35" s="31" t="s">
        <v>58</v>
      </c>
      <c r="U35" s="31" t="s">
        <v>58</v>
      </c>
      <c r="V35" s="50">
        <v>46030</v>
      </c>
      <c r="W35" s="34">
        <v>0.33333333333333331</v>
      </c>
      <c r="X35" s="34">
        <v>0.54166666666666663</v>
      </c>
      <c r="Y35" s="31"/>
    </row>
    <row r="36" spans="1:25" ht="12.75" x14ac:dyDescent="0.2">
      <c r="A36" s="30">
        <v>46030</v>
      </c>
      <c r="B36" s="31" t="s">
        <v>97</v>
      </c>
      <c r="C36" s="31">
        <v>1</v>
      </c>
      <c r="D36" s="31" t="s">
        <v>60</v>
      </c>
      <c r="E36" s="31" t="s">
        <v>101</v>
      </c>
      <c r="F36" s="48">
        <v>46041788</v>
      </c>
      <c r="G36" s="31">
        <v>21132418</v>
      </c>
      <c r="H36" s="31" t="s">
        <v>121</v>
      </c>
      <c r="I36" s="31">
        <v>53</v>
      </c>
      <c r="J36" s="31" t="s">
        <v>63</v>
      </c>
      <c r="K36" s="31" t="s">
        <v>63</v>
      </c>
      <c r="L36" s="31" t="s">
        <v>54</v>
      </c>
      <c r="M36" s="31" t="s">
        <v>54</v>
      </c>
      <c r="N36" s="31" t="s">
        <v>96</v>
      </c>
      <c r="O36" s="31" t="s">
        <v>56</v>
      </c>
      <c r="P36" s="31" t="s">
        <v>81</v>
      </c>
      <c r="Q36" s="31">
        <v>29870</v>
      </c>
      <c r="R36" s="31" t="s">
        <v>57</v>
      </c>
      <c r="S36" s="31" t="s">
        <v>65</v>
      </c>
      <c r="T36" s="31" t="s">
        <v>58</v>
      </c>
      <c r="U36" s="31" t="s">
        <v>58</v>
      </c>
      <c r="V36" s="30">
        <v>46030</v>
      </c>
      <c r="W36" s="34">
        <v>0.60416666666666663</v>
      </c>
      <c r="X36" s="34">
        <v>0.64583333333333337</v>
      </c>
      <c r="Y36" s="31"/>
    </row>
    <row r="37" spans="1:25" ht="12.75" x14ac:dyDescent="0.2">
      <c r="A37" s="30">
        <v>46030</v>
      </c>
      <c r="B37" s="31" t="s">
        <v>100</v>
      </c>
      <c r="C37" s="31">
        <v>1</v>
      </c>
      <c r="D37" s="31" t="s">
        <v>60</v>
      </c>
      <c r="E37" s="31" t="s">
        <v>101</v>
      </c>
      <c r="F37" s="31">
        <v>46041788</v>
      </c>
      <c r="G37" s="31">
        <v>42968719</v>
      </c>
      <c r="H37" s="31" t="s">
        <v>121</v>
      </c>
      <c r="I37" s="31">
        <v>40</v>
      </c>
      <c r="J37" s="31" t="s">
        <v>50</v>
      </c>
      <c r="K37" s="31" t="s">
        <v>103</v>
      </c>
      <c r="L37" s="31" t="s">
        <v>54</v>
      </c>
      <c r="M37" s="31" t="s">
        <v>54</v>
      </c>
      <c r="N37" s="31">
        <v>210909</v>
      </c>
      <c r="O37" s="31" t="s">
        <v>56</v>
      </c>
      <c r="P37" s="31" t="s">
        <v>81</v>
      </c>
      <c r="Q37" s="31" t="s">
        <v>123</v>
      </c>
      <c r="R37" s="31" t="s">
        <v>57</v>
      </c>
      <c r="S37" s="31" t="s">
        <v>65</v>
      </c>
      <c r="T37" s="31" t="s">
        <v>58</v>
      </c>
      <c r="U37" s="31" t="s">
        <v>58</v>
      </c>
      <c r="V37" s="30">
        <v>46030</v>
      </c>
      <c r="W37" s="34">
        <v>0.75</v>
      </c>
      <c r="X37" s="34">
        <v>0.79861111111111116</v>
      </c>
      <c r="Y37" s="31"/>
    </row>
    <row r="38" spans="1:25" ht="12.75" x14ac:dyDescent="0.2">
      <c r="A38" s="30">
        <v>46030</v>
      </c>
      <c r="B38" s="31" t="s">
        <v>59</v>
      </c>
      <c r="C38" s="31">
        <v>1</v>
      </c>
      <c r="D38" s="31" t="s">
        <v>50</v>
      </c>
      <c r="E38" s="31" t="s">
        <v>124</v>
      </c>
      <c r="F38" s="31">
        <v>46691567</v>
      </c>
      <c r="G38" s="31">
        <v>403664722</v>
      </c>
      <c r="H38" s="31" t="s">
        <v>125</v>
      </c>
      <c r="I38" s="31">
        <v>80</v>
      </c>
      <c r="J38" s="31" t="s">
        <v>50</v>
      </c>
      <c r="K38" s="31" t="s">
        <v>103</v>
      </c>
      <c r="L38" s="31" t="s">
        <v>54</v>
      </c>
      <c r="M38" s="31" t="s">
        <v>54</v>
      </c>
      <c r="N38" s="31" t="s">
        <v>126</v>
      </c>
      <c r="O38" s="31" t="s">
        <v>56</v>
      </c>
      <c r="P38" s="31" t="s">
        <v>81</v>
      </c>
      <c r="Q38" s="31">
        <v>66782</v>
      </c>
      <c r="R38" s="31" t="s">
        <v>57</v>
      </c>
      <c r="S38" s="31" t="s">
        <v>65</v>
      </c>
      <c r="T38" s="31" t="s">
        <v>58</v>
      </c>
      <c r="U38" s="31" t="s">
        <v>58</v>
      </c>
      <c r="V38" s="30">
        <v>46030</v>
      </c>
      <c r="W38" s="34">
        <v>0.33333333333333331</v>
      </c>
      <c r="X38" s="34">
        <v>0.375</v>
      </c>
      <c r="Y38" s="31"/>
    </row>
    <row r="39" spans="1:25" ht="12.75" x14ac:dyDescent="0.2">
      <c r="A39" s="30">
        <v>46029</v>
      </c>
      <c r="B39" s="31" t="s">
        <v>127</v>
      </c>
      <c r="C39" s="31">
        <v>1</v>
      </c>
      <c r="D39" s="31" t="s">
        <v>50</v>
      </c>
      <c r="E39" s="31" t="s">
        <v>87</v>
      </c>
      <c r="F39" s="31">
        <v>45125864</v>
      </c>
      <c r="G39" s="31">
        <v>7471332</v>
      </c>
      <c r="H39" s="31" t="s">
        <v>88</v>
      </c>
      <c r="I39" s="31">
        <v>63</v>
      </c>
      <c r="J39" s="31" t="s">
        <v>50</v>
      </c>
      <c r="K39" s="31" t="s">
        <v>103</v>
      </c>
      <c r="L39" s="31" t="s">
        <v>58</v>
      </c>
      <c r="M39" s="31" t="s">
        <v>54</v>
      </c>
      <c r="N39" s="31" t="s">
        <v>112</v>
      </c>
      <c r="O39" s="31" t="s">
        <v>56</v>
      </c>
      <c r="P39" s="31" t="s">
        <v>81</v>
      </c>
      <c r="Q39" s="31">
        <v>61590</v>
      </c>
      <c r="R39" s="31" t="s">
        <v>128</v>
      </c>
      <c r="S39" s="31" t="s">
        <v>57</v>
      </c>
      <c r="T39" s="31" t="s">
        <v>129</v>
      </c>
      <c r="U39" s="31" t="s">
        <v>58</v>
      </c>
      <c r="V39" s="30">
        <v>46029</v>
      </c>
      <c r="W39" s="31" t="s">
        <v>130</v>
      </c>
      <c r="X39" s="31" t="s">
        <v>131</v>
      </c>
      <c r="Y39" s="31"/>
    </row>
    <row r="40" spans="1:25" ht="12.75" x14ac:dyDescent="0.2">
      <c r="A40" s="30">
        <v>46029</v>
      </c>
      <c r="B40" s="31" t="s">
        <v>49</v>
      </c>
      <c r="C40" s="31">
        <v>1</v>
      </c>
      <c r="D40" s="31" t="s">
        <v>60</v>
      </c>
      <c r="E40" s="31" t="s">
        <v>110</v>
      </c>
      <c r="F40" s="31">
        <v>23928859</v>
      </c>
      <c r="G40" s="31">
        <v>48487842</v>
      </c>
      <c r="H40" s="31" t="s">
        <v>132</v>
      </c>
      <c r="I40" s="31">
        <v>32</v>
      </c>
      <c r="J40" s="31" t="s">
        <v>50</v>
      </c>
      <c r="K40" s="31" t="s">
        <v>70</v>
      </c>
      <c r="L40" s="31" t="s">
        <v>54</v>
      </c>
      <c r="M40" s="31" t="s">
        <v>54</v>
      </c>
      <c r="N40" s="31" t="s">
        <v>113</v>
      </c>
      <c r="O40" s="31" t="s">
        <v>56</v>
      </c>
      <c r="P40" s="31" t="s">
        <v>81</v>
      </c>
      <c r="Q40" s="31">
        <v>44970</v>
      </c>
      <c r="R40" s="31" t="s">
        <v>57</v>
      </c>
      <c r="S40" s="31" t="s">
        <v>57</v>
      </c>
      <c r="T40" s="31" t="s">
        <v>58</v>
      </c>
      <c r="U40" s="31" t="s">
        <v>58</v>
      </c>
      <c r="V40" s="30">
        <v>46029</v>
      </c>
      <c r="W40" s="51">
        <v>46041</v>
      </c>
      <c r="X40" s="31" t="s">
        <v>133</v>
      </c>
      <c r="Y40" s="31"/>
    </row>
    <row r="41" spans="1:25" ht="12.75" x14ac:dyDescent="0.2">
      <c r="A41" s="30">
        <v>46030</v>
      </c>
      <c r="B41" s="31" t="s">
        <v>127</v>
      </c>
      <c r="C41" s="31">
        <v>1</v>
      </c>
      <c r="D41" s="31" t="s">
        <v>50</v>
      </c>
      <c r="E41" s="31" t="s">
        <v>98</v>
      </c>
      <c r="F41" s="31">
        <v>44897100</v>
      </c>
      <c r="G41" s="31">
        <v>10698661</v>
      </c>
      <c r="H41" s="31" t="s">
        <v>73</v>
      </c>
      <c r="I41" s="31">
        <v>48</v>
      </c>
      <c r="J41" s="31" t="s">
        <v>63</v>
      </c>
      <c r="K41" s="31" t="s">
        <v>134</v>
      </c>
      <c r="L41" s="31" t="s">
        <v>54</v>
      </c>
      <c r="M41" s="31" t="s">
        <v>54</v>
      </c>
      <c r="N41" s="31" t="s">
        <v>135</v>
      </c>
      <c r="O41" s="31" t="s">
        <v>56</v>
      </c>
      <c r="P41" s="31" t="s">
        <v>81</v>
      </c>
      <c r="Q41" s="31">
        <v>26735</v>
      </c>
      <c r="R41" s="31" t="s">
        <v>57</v>
      </c>
      <c r="S41" s="31" t="s">
        <v>57</v>
      </c>
      <c r="T41" s="31" t="s">
        <v>58</v>
      </c>
      <c r="U41" s="31" t="s">
        <v>58</v>
      </c>
      <c r="V41" s="30">
        <v>46030</v>
      </c>
      <c r="W41" s="51">
        <v>46024</v>
      </c>
      <c r="X41" s="31" t="s">
        <v>136</v>
      </c>
      <c r="Y41" s="31"/>
    </row>
    <row r="42" spans="1:25" ht="12.75" x14ac:dyDescent="0.2">
      <c r="A42" s="30">
        <v>46030</v>
      </c>
      <c r="B42" s="31" t="s">
        <v>127</v>
      </c>
      <c r="C42" s="31">
        <v>1</v>
      </c>
      <c r="D42" s="31" t="s">
        <v>60</v>
      </c>
      <c r="E42" s="31" t="s">
        <v>137</v>
      </c>
      <c r="F42" s="31">
        <v>20078680</v>
      </c>
      <c r="G42" s="31">
        <v>6671876</v>
      </c>
      <c r="H42" s="31" t="s">
        <v>132</v>
      </c>
      <c r="I42" s="31">
        <v>52</v>
      </c>
      <c r="J42" s="31" t="s">
        <v>50</v>
      </c>
      <c r="K42" s="31" t="s">
        <v>103</v>
      </c>
      <c r="L42" s="31" t="s">
        <v>58</v>
      </c>
      <c r="M42" s="31" t="s">
        <v>54</v>
      </c>
      <c r="N42" s="31" t="s">
        <v>138</v>
      </c>
      <c r="O42" s="31" t="s">
        <v>56</v>
      </c>
      <c r="P42" s="31" t="s">
        <v>81</v>
      </c>
      <c r="Q42" s="31">
        <v>47562</v>
      </c>
      <c r="R42" s="31" t="s">
        <v>57</v>
      </c>
      <c r="S42" s="31" t="s">
        <v>57</v>
      </c>
      <c r="T42" s="31" t="s">
        <v>58</v>
      </c>
      <c r="U42" s="31" t="s">
        <v>58</v>
      </c>
      <c r="V42" s="30">
        <v>46030</v>
      </c>
      <c r="W42" s="34">
        <v>0.5</v>
      </c>
      <c r="X42" s="34">
        <v>0.60416666666666663</v>
      </c>
      <c r="Y42" s="31"/>
    </row>
    <row r="43" spans="1:25" ht="12.75" x14ac:dyDescent="0.2">
      <c r="A43" s="30">
        <v>46031</v>
      </c>
      <c r="B43" s="31" t="s">
        <v>59</v>
      </c>
      <c r="C43" s="31">
        <v>1</v>
      </c>
      <c r="D43" s="31" t="s">
        <v>60</v>
      </c>
      <c r="E43" s="31" t="s">
        <v>61</v>
      </c>
      <c r="F43" s="31">
        <v>21523144</v>
      </c>
      <c r="G43" s="31" t="s">
        <v>91</v>
      </c>
      <c r="H43" s="31" t="s">
        <v>62</v>
      </c>
      <c r="I43" s="31">
        <v>50</v>
      </c>
      <c r="J43" s="31" t="s">
        <v>63</v>
      </c>
      <c r="K43" s="31" t="s">
        <v>63</v>
      </c>
      <c r="L43" s="31" t="s">
        <v>54</v>
      </c>
      <c r="M43" s="31" t="s">
        <v>54</v>
      </c>
      <c r="N43" s="31" t="s">
        <v>64</v>
      </c>
      <c r="O43" s="31" t="s">
        <v>56</v>
      </c>
      <c r="P43" s="31" t="s">
        <v>50</v>
      </c>
      <c r="Q43" s="31">
        <v>90874</v>
      </c>
      <c r="R43" s="31" t="s">
        <v>57</v>
      </c>
      <c r="S43" s="31" t="s">
        <v>65</v>
      </c>
      <c r="T43" s="31" t="s">
        <v>66</v>
      </c>
      <c r="U43" s="31" t="s">
        <v>58</v>
      </c>
      <c r="V43" s="30">
        <v>46031</v>
      </c>
      <c r="W43" s="34">
        <v>0.34722222222222221</v>
      </c>
      <c r="X43" s="34">
        <v>0.3576388888888889</v>
      </c>
      <c r="Y43" s="31"/>
    </row>
    <row r="44" spans="1:25" ht="12.75" x14ac:dyDescent="0.2">
      <c r="A44" s="30">
        <v>46031</v>
      </c>
      <c r="B44" s="31" t="s">
        <v>67</v>
      </c>
      <c r="C44" s="31">
        <v>1</v>
      </c>
      <c r="D44" s="31" t="s">
        <v>60</v>
      </c>
      <c r="E44" s="31" t="s">
        <v>61</v>
      </c>
      <c r="F44" s="48">
        <v>21523144</v>
      </c>
      <c r="G44" s="31">
        <v>61807519</v>
      </c>
      <c r="H44" s="31" t="s">
        <v>62</v>
      </c>
      <c r="I44" s="31">
        <v>18</v>
      </c>
      <c r="J44" s="31" t="s">
        <v>50</v>
      </c>
      <c r="K44" s="31" t="s">
        <v>63</v>
      </c>
      <c r="L44" s="31" t="s">
        <v>54</v>
      </c>
      <c r="M44" s="31" t="s">
        <v>54</v>
      </c>
      <c r="N44" s="31" t="s">
        <v>64</v>
      </c>
      <c r="O44" s="31" t="s">
        <v>56</v>
      </c>
      <c r="P44" s="31" t="s">
        <v>50</v>
      </c>
      <c r="Q44" s="31">
        <v>90874</v>
      </c>
      <c r="R44" s="31" t="s">
        <v>57</v>
      </c>
      <c r="S44" s="31" t="s">
        <v>65</v>
      </c>
      <c r="T44" s="31" t="s">
        <v>66</v>
      </c>
      <c r="U44" s="31" t="s">
        <v>58</v>
      </c>
      <c r="V44" s="30">
        <v>46031</v>
      </c>
      <c r="W44" s="34">
        <v>0.3611111111111111</v>
      </c>
      <c r="X44" s="34">
        <v>0.37152777777777779</v>
      </c>
      <c r="Y44" s="31"/>
    </row>
    <row r="45" spans="1:25" ht="12.75" x14ac:dyDescent="0.2">
      <c r="A45" s="30">
        <v>46031</v>
      </c>
      <c r="B45" s="31" t="s">
        <v>93</v>
      </c>
      <c r="C45" s="31">
        <v>1</v>
      </c>
      <c r="D45" s="31" t="s">
        <v>60</v>
      </c>
      <c r="E45" s="31" t="s">
        <v>137</v>
      </c>
      <c r="F45" s="31">
        <v>20078680</v>
      </c>
      <c r="G45" s="31">
        <v>10752921</v>
      </c>
      <c r="H45" s="31" t="s">
        <v>52</v>
      </c>
      <c r="I45" s="31">
        <v>49</v>
      </c>
      <c r="J45" s="31" t="s">
        <v>63</v>
      </c>
      <c r="K45" s="31" t="s">
        <v>63</v>
      </c>
      <c r="L45" s="31" t="s">
        <v>54</v>
      </c>
      <c r="M45" s="31" t="s">
        <v>54</v>
      </c>
      <c r="N45" s="31" t="s">
        <v>109</v>
      </c>
      <c r="O45" s="31" t="s">
        <v>56</v>
      </c>
      <c r="P45" s="31" t="s">
        <v>81</v>
      </c>
      <c r="Q45" s="31">
        <v>47562</v>
      </c>
      <c r="R45" s="31" t="s">
        <v>57</v>
      </c>
      <c r="S45" s="31" t="s">
        <v>65</v>
      </c>
      <c r="T45" s="31" t="s">
        <v>58</v>
      </c>
      <c r="U45" s="31" t="s">
        <v>58</v>
      </c>
      <c r="V45" s="30">
        <v>46031</v>
      </c>
      <c r="W45" s="34">
        <v>0.35416666666666669</v>
      </c>
      <c r="X45" s="34">
        <v>0.51736111111111116</v>
      </c>
      <c r="Y45" s="31"/>
    </row>
    <row r="46" spans="1:25" ht="12.75" x14ac:dyDescent="0.2">
      <c r="A46" s="30">
        <v>46031</v>
      </c>
      <c r="B46" s="31" t="s">
        <v>97</v>
      </c>
      <c r="C46" s="31">
        <v>1</v>
      </c>
      <c r="D46" s="31" t="s">
        <v>60</v>
      </c>
      <c r="E46" s="31" t="s">
        <v>139</v>
      </c>
      <c r="F46" s="31">
        <v>18160488</v>
      </c>
      <c r="G46" s="31">
        <v>23926824</v>
      </c>
      <c r="H46" s="31" t="s">
        <v>140</v>
      </c>
      <c r="I46" s="31">
        <v>67</v>
      </c>
      <c r="J46" s="31" t="s">
        <v>50</v>
      </c>
      <c r="K46" s="31" t="s">
        <v>103</v>
      </c>
      <c r="L46" s="31" t="s">
        <v>58</v>
      </c>
      <c r="M46" s="31" t="s">
        <v>54</v>
      </c>
      <c r="N46" s="31" t="s">
        <v>109</v>
      </c>
      <c r="O46" s="31" t="s">
        <v>56</v>
      </c>
      <c r="P46" s="31" t="s">
        <v>81</v>
      </c>
      <c r="Q46" s="31">
        <v>47562</v>
      </c>
      <c r="R46" s="31" t="s">
        <v>57</v>
      </c>
      <c r="S46" s="31" t="s">
        <v>65</v>
      </c>
      <c r="T46" s="31" t="s">
        <v>58</v>
      </c>
      <c r="U46" s="31" t="s">
        <v>58</v>
      </c>
      <c r="V46" s="30">
        <v>46031</v>
      </c>
      <c r="W46" s="34">
        <v>0.53125</v>
      </c>
      <c r="X46" s="34">
        <v>0.65625</v>
      </c>
      <c r="Y46" s="31"/>
    </row>
    <row r="47" spans="1:25" ht="12.75" x14ac:dyDescent="0.2">
      <c r="A47" s="30">
        <v>46031</v>
      </c>
      <c r="B47" s="31" t="s">
        <v>100</v>
      </c>
      <c r="C47" s="31">
        <v>1</v>
      </c>
      <c r="D47" s="31" t="s">
        <v>60</v>
      </c>
      <c r="E47" s="31" t="s">
        <v>108</v>
      </c>
      <c r="F47" s="31">
        <v>25542321</v>
      </c>
      <c r="G47" s="48">
        <v>71443812</v>
      </c>
      <c r="H47" s="31" t="s">
        <v>52</v>
      </c>
      <c r="I47" s="31">
        <v>27</v>
      </c>
      <c r="J47" s="31" t="s">
        <v>50</v>
      </c>
      <c r="K47" s="31" t="s">
        <v>63</v>
      </c>
      <c r="L47" s="31" t="s">
        <v>54</v>
      </c>
      <c r="M47" s="31" t="s">
        <v>54</v>
      </c>
      <c r="N47" s="31" t="s">
        <v>109</v>
      </c>
      <c r="O47" s="31" t="s">
        <v>56</v>
      </c>
      <c r="P47" s="31" t="s">
        <v>81</v>
      </c>
      <c r="Q47" s="31">
        <v>47562</v>
      </c>
      <c r="R47" s="31"/>
      <c r="S47" s="31" t="s">
        <v>65</v>
      </c>
      <c r="T47" s="31"/>
      <c r="U47" s="31" t="s">
        <v>70</v>
      </c>
      <c r="V47" s="30">
        <v>46031</v>
      </c>
      <c r="W47" s="34"/>
      <c r="X47" s="34"/>
      <c r="Y47" s="31"/>
    </row>
    <row r="48" spans="1:25" ht="12.75" x14ac:dyDescent="0.2">
      <c r="A48" s="30">
        <v>46031</v>
      </c>
      <c r="B48" s="31" t="s">
        <v>141</v>
      </c>
      <c r="C48" s="31">
        <v>1</v>
      </c>
      <c r="D48" s="31" t="s">
        <v>60</v>
      </c>
      <c r="E48" s="31" t="s">
        <v>142</v>
      </c>
      <c r="F48" s="31">
        <v>45782157</v>
      </c>
      <c r="G48" s="31" t="s">
        <v>143</v>
      </c>
      <c r="H48" s="31" t="s">
        <v>52</v>
      </c>
      <c r="I48" s="31">
        <v>22</v>
      </c>
      <c r="J48" s="31" t="s">
        <v>63</v>
      </c>
      <c r="K48" s="31" t="s">
        <v>103</v>
      </c>
      <c r="L48" s="31" t="s">
        <v>54</v>
      </c>
      <c r="M48" s="31" t="s">
        <v>54</v>
      </c>
      <c r="N48" s="31" t="s">
        <v>109</v>
      </c>
      <c r="O48" s="31" t="s">
        <v>56</v>
      </c>
      <c r="P48" s="31" t="s">
        <v>81</v>
      </c>
      <c r="Q48" s="31">
        <v>47562</v>
      </c>
      <c r="R48" s="31"/>
      <c r="S48" s="31" t="s">
        <v>65</v>
      </c>
      <c r="T48" s="31"/>
      <c r="U48" s="31" t="s">
        <v>70</v>
      </c>
      <c r="V48" s="30">
        <v>46031</v>
      </c>
      <c r="W48" s="34"/>
      <c r="X48" s="34"/>
      <c r="Y48" s="31"/>
    </row>
    <row r="49" spans="1:35" ht="12.75" x14ac:dyDescent="0.2">
      <c r="A49" s="30">
        <v>46031</v>
      </c>
      <c r="B49" s="31" t="s">
        <v>59</v>
      </c>
      <c r="C49" s="31">
        <v>1</v>
      </c>
      <c r="D49" s="31" t="s">
        <v>50</v>
      </c>
      <c r="E49" s="31" t="s">
        <v>98</v>
      </c>
      <c r="F49" s="31">
        <v>44897100</v>
      </c>
      <c r="G49" s="31">
        <v>60870484</v>
      </c>
      <c r="H49" s="31" t="s">
        <v>73</v>
      </c>
      <c r="I49" s="31">
        <v>19</v>
      </c>
      <c r="J49" s="31" t="s">
        <v>50</v>
      </c>
      <c r="K49" s="31" t="s">
        <v>63</v>
      </c>
      <c r="L49" s="31" t="s">
        <v>54</v>
      </c>
      <c r="M49" s="31" t="s">
        <v>54</v>
      </c>
      <c r="N49" s="31" t="s">
        <v>96</v>
      </c>
      <c r="O49" s="31" t="s">
        <v>56</v>
      </c>
      <c r="P49" s="31" t="s">
        <v>81</v>
      </c>
      <c r="Q49" s="31">
        <v>29870</v>
      </c>
      <c r="R49" s="31" t="s">
        <v>57</v>
      </c>
      <c r="S49" s="31" t="s">
        <v>65</v>
      </c>
      <c r="T49" s="31" t="s">
        <v>58</v>
      </c>
      <c r="U49" s="31" t="s">
        <v>58</v>
      </c>
      <c r="V49" s="30">
        <v>46031</v>
      </c>
      <c r="W49" s="34">
        <v>0.41666666666666669</v>
      </c>
      <c r="X49" s="34">
        <v>0.59027777777777779</v>
      </c>
      <c r="Y49" s="31"/>
    </row>
    <row r="50" spans="1:35" ht="12.75" x14ac:dyDescent="0.2">
      <c r="A50" s="30">
        <v>46031</v>
      </c>
      <c r="B50" s="31" t="s">
        <v>67</v>
      </c>
      <c r="C50" s="31">
        <v>1</v>
      </c>
      <c r="D50" s="31" t="s">
        <v>60</v>
      </c>
      <c r="E50" s="31" t="s">
        <v>72</v>
      </c>
      <c r="F50" s="31">
        <v>45693874</v>
      </c>
      <c r="G50" s="31">
        <v>76331393</v>
      </c>
      <c r="H50" s="31" t="s">
        <v>73</v>
      </c>
      <c r="I50" s="31">
        <v>28</v>
      </c>
      <c r="J50" s="31" t="s">
        <v>50</v>
      </c>
      <c r="K50" s="31" t="s">
        <v>53</v>
      </c>
      <c r="L50" s="31" t="s">
        <v>54</v>
      </c>
      <c r="M50" s="31" t="s">
        <v>54</v>
      </c>
      <c r="N50" s="31" t="s">
        <v>135</v>
      </c>
      <c r="O50" s="31" t="s">
        <v>56</v>
      </c>
      <c r="P50" s="31" t="s">
        <v>81</v>
      </c>
      <c r="Q50" s="31">
        <v>26735</v>
      </c>
      <c r="R50" s="31"/>
      <c r="S50" s="31" t="s">
        <v>65</v>
      </c>
      <c r="T50" s="31"/>
      <c r="U50" s="31" t="s">
        <v>70</v>
      </c>
      <c r="V50" s="30">
        <v>46031</v>
      </c>
      <c r="W50" s="34"/>
      <c r="X50" s="34"/>
      <c r="Y50" s="31"/>
    </row>
    <row r="51" spans="1:35" ht="12.75" x14ac:dyDescent="0.2">
      <c r="A51" s="30">
        <v>46031</v>
      </c>
      <c r="B51" s="31" t="s">
        <v>59</v>
      </c>
      <c r="C51" s="31">
        <v>1</v>
      </c>
      <c r="D51" s="31" t="s">
        <v>50</v>
      </c>
      <c r="E51" s="31" t="s">
        <v>144</v>
      </c>
      <c r="F51" s="31">
        <v>43403659</v>
      </c>
      <c r="G51" s="31">
        <v>41254558</v>
      </c>
      <c r="H51" s="31" t="s">
        <v>79</v>
      </c>
      <c r="I51" s="31">
        <v>44</v>
      </c>
      <c r="J51" s="31" t="s">
        <v>50</v>
      </c>
      <c r="K51" s="31" t="s">
        <v>103</v>
      </c>
      <c r="L51" s="31" t="s">
        <v>54</v>
      </c>
      <c r="M51" s="31" t="s">
        <v>54</v>
      </c>
      <c r="N51" s="31" t="s">
        <v>80</v>
      </c>
      <c r="O51" s="31" t="s">
        <v>56</v>
      </c>
      <c r="P51" s="31" t="s">
        <v>50</v>
      </c>
      <c r="Q51" s="31">
        <v>30520</v>
      </c>
      <c r="R51" s="31" t="s">
        <v>57</v>
      </c>
      <c r="S51" s="31" t="s">
        <v>65</v>
      </c>
      <c r="T51" s="31" t="s">
        <v>66</v>
      </c>
      <c r="U51" s="31" t="s">
        <v>58</v>
      </c>
      <c r="V51" s="30">
        <v>46031</v>
      </c>
      <c r="W51" s="34">
        <v>0.33333333333333331</v>
      </c>
      <c r="X51" s="34">
        <v>0.45833333333333331</v>
      </c>
      <c r="Y51" s="31"/>
    </row>
    <row r="52" spans="1:35" ht="12.75" x14ac:dyDescent="0.2">
      <c r="A52" s="30">
        <v>46031</v>
      </c>
      <c r="B52" s="31" t="s">
        <v>93</v>
      </c>
      <c r="C52" s="31">
        <v>1</v>
      </c>
      <c r="D52" s="31" t="s">
        <v>60</v>
      </c>
      <c r="E52" s="31" t="s">
        <v>145</v>
      </c>
      <c r="F52" s="31" t="s">
        <v>146</v>
      </c>
      <c r="G52" s="31">
        <v>7772053</v>
      </c>
      <c r="H52" s="31" t="s">
        <v>147</v>
      </c>
      <c r="I52" s="31">
        <v>73</v>
      </c>
      <c r="J52" s="31" t="s">
        <v>63</v>
      </c>
      <c r="K52" s="31" t="s">
        <v>63</v>
      </c>
      <c r="L52" s="31" t="s">
        <v>54</v>
      </c>
      <c r="M52" s="31" t="s">
        <v>54</v>
      </c>
      <c r="N52" s="31" t="s">
        <v>148</v>
      </c>
      <c r="O52" s="31" t="s">
        <v>56</v>
      </c>
      <c r="P52" s="31" t="s">
        <v>81</v>
      </c>
      <c r="Q52" s="31">
        <v>20494</v>
      </c>
      <c r="R52" s="31" t="s">
        <v>57</v>
      </c>
      <c r="S52" s="31" t="s">
        <v>65</v>
      </c>
      <c r="T52" s="31" t="s">
        <v>58</v>
      </c>
      <c r="U52" s="31" t="s">
        <v>58</v>
      </c>
      <c r="V52" s="30">
        <v>46031</v>
      </c>
      <c r="W52" s="34">
        <v>0.3576388888888889</v>
      </c>
      <c r="X52" s="34">
        <v>0.49652777777777779</v>
      </c>
      <c r="Y52" s="31"/>
      <c r="AI52" s="31"/>
    </row>
    <row r="53" spans="1:35" ht="12.75" x14ac:dyDescent="0.2">
      <c r="A53" s="30">
        <v>46031</v>
      </c>
      <c r="B53" s="31" t="s">
        <v>97</v>
      </c>
      <c r="C53" s="31">
        <v>1</v>
      </c>
      <c r="D53" s="31" t="s">
        <v>50</v>
      </c>
      <c r="E53" s="31" t="s">
        <v>149</v>
      </c>
      <c r="F53" s="31">
        <v>43103030</v>
      </c>
      <c r="G53" s="31">
        <v>7239031</v>
      </c>
      <c r="H53" s="31" t="s">
        <v>147</v>
      </c>
      <c r="I53" s="31">
        <v>80</v>
      </c>
      <c r="J53" s="31" t="s">
        <v>63</v>
      </c>
      <c r="K53" s="31" t="s">
        <v>63</v>
      </c>
      <c r="L53" s="31" t="s">
        <v>54</v>
      </c>
      <c r="M53" s="31" t="s">
        <v>54</v>
      </c>
      <c r="N53" s="31" t="s">
        <v>148</v>
      </c>
      <c r="O53" s="31" t="s">
        <v>56</v>
      </c>
      <c r="P53" s="31" t="s">
        <v>81</v>
      </c>
      <c r="Q53" s="31">
        <v>58260</v>
      </c>
      <c r="R53" s="31" t="s">
        <v>57</v>
      </c>
      <c r="S53" s="31" t="s">
        <v>65</v>
      </c>
      <c r="T53" s="31" t="s">
        <v>58</v>
      </c>
      <c r="U53" s="31" t="s">
        <v>58</v>
      </c>
      <c r="V53" s="30">
        <v>46031</v>
      </c>
      <c r="W53" s="34">
        <v>0.5</v>
      </c>
      <c r="X53" s="34">
        <v>0.65277777777777779</v>
      </c>
      <c r="Y53" s="31"/>
      <c r="AI53" s="31"/>
    </row>
    <row r="54" spans="1:35" ht="12.75" x14ac:dyDescent="0.2">
      <c r="A54" s="30">
        <v>46031</v>
      </c>
      <c r="B54" s="31" t="s">
        <v>127</v>
      </c>
      <c r="C54" s="31">
        <v>1</v>
      </c>
      <c r="D54" s="31" t="s">
        <v>60</v>
      </c>
      <c r="E54" s="31" t="s">
        <v>51</v>
      </c>
      <c r="F54" s="31">
        <v>21866455</v>
      </c>
      <c r="G54" s="31">
        <v>8393603</v>
      </c>
      <c r="H54" s="31" t="s">
        <v>52</v>
      </c>
      <c r="I54" s="31">
        <v>92</v>
      </c>
      <c r="J54" s="31" t="s">
        <v>50</v>
      </c>
      <c r="K54" s="31" t="s">
        <v>103</v>
      </c>
      <c r="L54" s="31" t="s">
        <v>58</v>
      </c>
      <c r="M54" s="31" t="s">
        <v>54</v>
      </c>
      <c r="N54" s="31" t="s">
        <v>150</v>
      </c>
      <c r="O54" s="31" t="s">
        <v>56</v>
      </c>
      <c r="P54" s="31" t="s">
        <v>81</v>
      </c>
      <c r="Q54" s="31">
        <v>47000</v>
      </c>
      <c r="R54" s="31" t="s">
        <v>57</v>
      </c>
      <c r="S54" s="31" t="s">
        <v>57</v>
      </c>
      <c r="T54" s="31" t="s">
        <v>58</v>
      </c>
      <c r="U54" s="31" t="s">
        <v>58</v>
      </c>
      <c r="V54" s="30">
        <v>46031</v>
      </c>
      <c r="W54" s="34">
        <v>0</v>
      </c>
      <c r="X54" s="34">
        <v>0.125</v>
      </c>
      <c r="Y54" s="31"/>
    </row>
    <row r="55" spans="1:35" ht="12.75" x14ac:dyDescent="0.2">
      <c r="A55" s="30">
        <v>46031</v>
      </c>
      <c r="B55" s="31" t="s">
        <v>49</v>
      </c>
      <c r="C55" s="31">
        <v>1</v>
      </c>
      <c r="D55" s="31" t="s">
        <v>60</v>
      </c>
      <c r="E55" s="31" t="s">
        <v>108</v>
      </c>
      <c r="F55" s="31">
        <v>25542321</v>
      </c>
      <c r="G55" s="31">
        <v>43355842</v>
      </c>
      <c r="H55" s="31" t="s">
        <v>52</v>
      </c>
      <c r="I55" s="31">
        <v>45</v>
      </c>
      <c r="J55" s="31" t="s">
        <v>50</v>
      </c>
      <c r="K55" s="31" t="s">
        <v>53</v>
      </c>
      <c r="L55" s="31" t="s">
        <v>76</v>
      </c>
      <c r="M55" s="31" t="s">
        <v>54</v>
      </c>
      <c r="N55" s="31" t="s">
        <v>109</v>
      </c>
      <c r="O55" s="31" t="s">
        <v>56</v>
      </c>
      <c r="P55" s="31" t="s">
        <v>81</v>
      </c>
      <c r="Q55" s="31">
        <v>47562</v>
      </c>
      <c r="R55" s="31" t="s">
        <v>57</v>
      </c>
      <c r="S55" s="31" t="s">
        <v>57</v>
      </c>
      <c r="T55" s="31" t="s">
        <v>58</v>
      </c>
      <c r="U55" s="31" t="s">
        <v>58</v>
      </c>
      <c r="V55" s="30">
        <v>46031</v>
      </c>
      <c r="W55" s="34">
        <v>0.66666666666666663</v>
      </c>
      <c r="X55" s="34">
        <v>0.82986111111111116</v>
      </c>
      <c r="Y55" s="31"/>
    </row>
    <row r="56" spans="1:35" ht="12.75" x14ac:dyDescent="0.2">
      <c r="A56" s="30">
        <v>46032</v>
      </c>
      <c r="B56" s="31" t="s">
        <v>59</v>
      </c>
      <c r="C56" s="31">
        <v>1</v>
      </c>
      <c r="D56" s="31" t="s">
        <v>60</v>
      </c>
      <c r="E56" s="31" t="s">
        <v>61</v>
      </c>
      <c r="F56" s="31">
        <v>21523144</v>
      </c>
      <c r="G56" s="31" t="s">
        <v>91</v>
      </c>
      <c r="H56" s="31" t="s">
        <v>62</v>
      </c>
      <c r="I56" s="31">
        <v>50</v>
      </c>
      <c r="J56" s="31" t="s">
        <v>63</v>
      </c>
      <c r="K56" s="31" t="s">
        <v>63</v>
      </c>
      <c r="L56" s="31" t="s">
        <v>54</v>
      </c>
      <c r="M56" s="31" t="s">
        <v>54</v>
      </c>
      <c r="N56" s="31" t="s">
        <v>64</v>
      </c>
      <c r="O56" s="31" t="s">
        <v>56</v>
      </c>
      <c r="P56" s="31" t="s">
        <v>50</v>
      </c>
      <c r="Q56" s="31">
        <v>90874</v>
      </c>
      <c r="R56" s="31" t="s">
        <v>57</v>
      </c>
      <c r="S56" s="31" t="s">
        <v>65</v>
      </c>
      <c r="T56" s="31" t="s">
        <v>58</v>
      </c>
      <c r="U56" s="31" t="s">
        <v>58</v>
      </c>
      <c r="V56" s="30">
        <v>46032</v>
      </c>
      <c r="W56" s="34">
        <v>0.33333333333333331</v>
      </c>
      <c r="X56" s="34">
        <v>0.35416666666666669</v>
      </c>
      <c r="Y56" s="31"/>
    </row>
    <row r="57" spans="1:35" ht="12.75" x14ac:dyDescent="0.2">
      <c r="A57" s="30">
        <v>46032</v>
      </c>
      <c r="B57" s="31" t="s">
        <v>59</v>
      </c>
      <c r="C57" s="31">
        <v>1</v>
      </c>
      <c r="D57" s="31" t="s">
        <v>60</v>
      </c>
      <c r="E57" s="31" t="s">
        <v>110</v>
      </c>
      <c r="F57" s="48">
        <v>23928859</v>
      </c>
      <c r="G57" s="31">
        <v>76387657</v>
      </c>
      <c r="H57" s="31" t="s">
        <v>52</v>
      </c>
      <c r="I57" s="31">
        <v>29</v>
      </c>
      <c r="J57" s="31" t="s">
        <v>50</v>
      </c>
      <c r="K57" s="31" t="s">
        <v>53</v>
      </c>
      <c r="L57" s="31" t="s">
        <v>54</v>
      </c>
      <c r="M57" s="31" t="s">
        <v>54</v>
      </c>
      <c r="N57" s="31" t="s">
        <v>151</v>
      </c>
      <c r="O57" s="31" t="s">
        <v>56</v>
      </c>
      <c r="P57" s="31" t="s">
        <v>81</v>
      </c>
      <c r="Q57" s="31">
        <v>43644</v>
      </c>
      <c r="R57" s="31" t="s">
        <v>57</v>
      </c>
      <c r="S57" s="31" t="s">
        <v>65</v>
      </c>
      <c r="T57" s="31" t="s">
        <v>58</v>
      </c>
      <c r="U57" s="31" t="s">
        <v>58</v>
      </c>
      <c r="V57" s="30">
        <v>46032</v>
      </c>
      <c r="W57" s="34">
        <v>0.33333333333333331</v>
      </c>
      <c r="X57" s="34">
        <v>0.54166666666666663</v>
      </c>
      <c r="Y57" s="31"/>
    </row>
    <row r="58" spans="1:35" ht="12.75" x14ac:dyDescent="0.2">
      <c r="A58" s="30">
        <v>46032</v>
      </c>
      <c r="B58" s="31" t="s">
        <v>59</v>
      </c>
      <c r="C58" s="31">
        <v>1</v>
      </c>
      <c r="D58" s="31" t="s">
        <v>60</v>
      </c>
      <c r="E58" s="31" t="s">
        <v>72</v>
      </c>
      <c r="F58" s="48">
        <v>45693874</v>
      </c>
      <c r="G58" s="31">
        <v>76331393</v>
      </c>
      <c r="H58" s="31" t="s">
        <v>73</v>
      </c>
      <c r="I58" s="31">
        <v>28</v>
      </c>
      <c r="J58" s="31" t="s">
        <v>50</v>
      </c>
      <c r="K58" s="31" t="s">
        <v>53</v>
      </c>
      <c r="L58" s="31" t="s">
        <v>54</v>
      </c>
      <c r="M58" s="31" t="s">
        <v>54</v>
      </c>
      <c r="N58" s="31" t="s">
        <v>135</v>
      </c>
      <c r="O58" s="31" t="s">
        <v>56</v>
      </c>
      <c r="P58" s="31" t="s">
        <v>81</v>
      </c>
      <c r="Q58" s="31">
        <v>26735</v>
      </c>
      <c r="R58" s="31" t="s">
        <v>57</v>
      </c>
      <c r="S58" s="31" t="s">
        <v>65</v>
      </c>
      <c r="T58" s="31" t="s">
        <v>58</v>
      </c>
      <c r="U58" s="31" t="s">
        <v>58</v>
      </c>
      <c r="V58" s="30">
        <v>46032</v>
      </c>
      <c r="W58" s="34">
        <v>0.58333333333333337</v>
      </c>
      <c r="X58" s="34">
        <v>0.625</v>
      </c>
      <c r="Y58" s="31"/>
    </row>
    <row r="59" spans="1:35" ht="12.75" x14ac:dyDescent="0.2">
      <c r="A59" s="30">
        <v>46031</v>
      </c>
      <c r="B59" s="31" t="s">
        <v>127</v>
      </c>
      <c r="C59" s="31">
        <v>1</v>
      </c>
      <c r="D59" s="31" t="s">
        <v>60</v>
      </c>
      <c r="E59" s="31" t="s">
        <v>152</v>
      </c>
      <c r="F59" s="31" t="s">
        <v>153</v>
      </c>
      <c r="G59" s="31">
        <v>43658430</v>
      </c>
      <c r="H59" s="31" t="s">
        <v>52</v>
      </c>
      <c r="I59" s="31">
        <v>63</v>
      </c>
      <c r="J59" s="31" t="s">
        <v>50</v>
      </c>
      <c r="K59" s="31" t="s">
        <v>103</v>
      </c>
      <c r="L59" s="31" t="s">
        <v>58</v>
      </c>
      <c r="M59" s="31" t="s">
        <v>54</v>
      </c>
      <c r="N59" s="31" t="s">
        <v>154</v>
      </c>
      <c r="O59" s="31" t="s">
        <v>56</v>
      </c>
      <c r="P59" s="31" t="s">
        <v>81</v>
      </c>
      <c r="Q59" s="31">
        <v>47562</v>
      </c>
      <c r="R59" s="31" t="s">
        <v>57</v>
      </c>
      <c r="S59" s="31" t="s">
        <v>57</v>
      </c>
      <c r="T59" s="31" t="s">
        <v>58</v>
      </c>
      <c r="U59" s="31" t="s">
        <v>58</v>
      </c>
      <c r="V59" s="30">
        <v>46031</v>
      </c>
      <c r="W59" s="34">
        <v>0.46875</v>
      </c>
      <c r="X59" s="34">
        <v>0.11458333333333333</v>
      </c>
      <c r="Y59" s="31"/>
    </row>
    <row r="60" spans="1:35" ht="12.75" x14ac:dyDescent="0.2">
      <c r="A60" s="30">
        <v>46032</v>
      </c>
      <c r="B60" s="31" t="s">
        <v>49</v>
      </c>
      <c r="C60" s="31">
        <v>1</v>
      </c>
      <c r="D60" s="31" t="s">
        <v>60</v>
      </c>
      <c r="E60" s="31" t="s">
        <v>110</v>
      </c>
      <c r="F60" s="31">
        <v>23928859</v>
      </c>
      <c r="G60" s="31">
        <v>7617181</v>
      </c>
      <c r="H60" s="31" t="s">
        <v>52</v>
      </c>
      <c r="I60" s="31">
        <v>57</v>
      </c>
      <c r="J60" s="31" t="s">
        <v>50</v>
      </c>
      <c r="K60" s="31" t="s">
        <v>103</v>
      </c>
      <c r="L60" s="31" t="s">
        <v>76</v>
      </c>
      <c r="M60" s="31" t="s">
        <v>54</v>
      </c>
      <c r="N60" s="31" t="s">
        <v>155</v>
      </c>
      <c r="O60" s="31" t="s">
        <v>56</v>
      </c>
      <c r="P60" s="31" t="s">
        <v>81</v>
      </c>
      <c r="Q60" s="31">
        <v>47562</v>
      </c>
      <c r="R60" s="31" t="s">
        <v>57</v>
      </c>
      <c r="S60" s="31" t="s">
        <v>57</v>
      </c>
      <c r="T60" s="31" t="s">
        <v>58</v>
      </c>
      <c r="U60" s="31" t="s">
        <v>58</v>
      </c>
      <c r="V60" s="30">
        <v>46032</v>
      </c>
      <c r="W60" s="34">
        <v>0.125</v>
      </c>
      <c r="X60" s="34">
        <v>0.22916666666666666</v>
      </c>
      <c r="Y60" s="31"/>
    </row>
    <row r="61" spans="1:35" ht="12.75" x14ac:dyDescent="0.2">
      <c r="A61" s="30">
        <v>46034</v>
      </c>
      <c r="B61" s="31" t="s">
        <v>59</v>
      </c>
      <c r="C61" s="31">
        <v>1</v>
      </c>
      <c r="D61" s="31" t="s">
        <v>60</v>
      </c>
      <c r="E61" s="31" t="s">
        <v>61</v>
      </c>
      <c r="F61" s="48">
        <v>21523144</v>
      </c>
      <c r="G61" s="31" t="s">
        <v>91</v>
      </c>
      <c r="H61" s="31" t="s">
        <v>62</v>
      </c>
      <c r="I61" s="31">
        <v>50</v>
      </c>
      <c r="J61" s="31" t="s">
        <v>63</v>
      </c>
      <c r="K61" s="31" t="s">
        <v>63</v>
      </c>
      <c r="L61" s="31" t="s">
        <v>54</v>
      </c>
      <c r="M61" s="31" t="s">
        <v>54</v>
      </c>
      <c r="N61" s="31" t="s">
        <v>64</v>
      </c>
      <c r="O61" s="31" t="s">
        <v>56</v>
      </c>
      <c r="P61" s="31" t="s">
        <v>50</v>
      </c>
      <c r="Q61" s="31">
        <v>90874</v>
      </c>
      <c r="R61" s="31" t="s">
        <v>57</v>
      </c>
      <c r="S61" s="31" t="s">
        <v>65</v>
      </c>
      <c r="T61" s="31" t="s">
        <v>66</v>
      </c>
      <c r="U61" s="31" t="s">
        <v>58</v>
      </c>
      <c r="V61" s="30">
        <v>46034</v>
      </c>
      <c r="W61" s="34">
        <v>0.33333333333333331</v>
      </c>
      <c r="X61" s="34">
        <v>0.375</v>
      </c>
      <c r="Y61" s="31"/>
    </row>
    <row r="62" spans="1:35" ht="12.75" x14ac:dyDescent="0.2">
      <c r="A62" s="30">
        <v>46034</v>
      </c>
      <c r="B62" s="31" t="s">
        <v>67</v>
      </c>
      <c r="C62" s="31">
        <v>1</v>
      </c>
      <c r="D62" s="31" t="s">
        <v>60</v>
      </c>
      <c r="E62" s="31" t="s">
        <v>61</v>
      </c>
      <c r="F62" s="31">
        <v>21523144</v>
      </c>
      <c r="G62" s="31">
        <v>61807519</v>
      </c>
      <c r="H62" s="31" t="s">
        <v>62</v>
      </c>
      <c r="I62" s="31">
        <v>18</v>
      </c>
      <c r="J62" s="31" t="s">
        <v>50</v>
      </c>
      <c r="K62" s="31" t="s">
        <v>63</v>
      </c>
      <c r="L62" s="31" t="s">
        <v>54</v>
      </c>
      <c r="M62" s="31" t="s">
        <v>54</v>
      </c>
      <c r="N62" s="31" t="s">
        <v>64</v>
      </c>
      <c r="O62" s="31" t="s">
        <v>56</v>
      </c>
      <c r="P62" s="31" t="s">
        <v>50</v>
      </c>
      <c r="Q62" s="31">
        <v>90874</v>
      </c>
      <c r="R62" s="31" t="s">
        <v>57</v>
      </c>
      <c r="S62" s="31" t="s">
        <v>65</v>
      </c>
      <c r="T62" s="31" t="s">
        <v>66</v>
      </c>
      <c r="U62" s="31" t="s">
        <v>58</v>
      </c>
      <c r="V62" s="30">
        <v>46034</v>
      </c>
      <c r="W62" s="34">
        <v>0.375</v>
      </c>
      <c r="X62" s="34">
        <v>0.41666666666666669</v>
      </c>
      <c r="Y62" s="31"/>
    </row>
    <row r="63" spans="1:35" ht="12.75" x14ac:dyDescent="0.2">
      <c r="A63" s="30">
        <v>46034</v>
      </c>
      <c r="B63" s="31" t="s">
        <v>69</v>
      </c>
      <c r="C63" s="31">
        <v>1</v>
      </c>
      <c r="D63" s="31" t="s">
        <v>60</v>
      </c>
      <c r="E63" s="31" t="s">
        <v>61</v>
      </c>
      <c r="F63" s="31">
        <v>21523144</v>
      </c>
      <c r="G63" s="31" t="s">
        <v>156</v>
      </c>
      <c r="H63" s="31" t="s">
        <v>62</v>
      </c>
      <c r="I63" s="31">
        <v>63</v>
      </c>
      <c r="J63" s="31" t="s">
        <v>63</v>
      </c>
      <c r="K63" s="31" t="s">
        <v>63</v>
      </c>
      <c r="L63" s="31" t="s">
        <v>54</v>
      </c>
      <c r="M63" s="31" t="s">
        <v>54</v>
      </c>
      <c r="N63" s="31" t="s">
        <v>64</v>
      </c>
      <c r="O63" s="31" t="s">
        <v>56</v>
      </c>
      <c r="P63" s="31" t="s">
        <v>50</v>
      </c>
      <c r="Q63" s="31">
        <v>90874</v>
      </c>
      <c r="R63" s="31" t="s">
        <v>57</v>
      </c>
      <c r="S63" s="31" t="s">
        <v>65</v>
      </c>
      <c r="T63" s="31" t="s">
        <v>66</v>
      </c>
      <c r="U63" s="31" t="s">
        <v>58</v>
      </c>
      <c r="V63" s="30">
        <v>46034</v>
      </c>
      <c r="W63" s="34">
        <v>0.41666666666666669</v>
      </c>
      <c r="X63" s="34">
        <v>0.45833333333333331</v>
      </c>
      <c r="Y63" s="31"/>
    </row>
    <row r="64" spans="1:35" ht="12.75" x14ac:dyDescent="0.2">
      <c r="A64" s="30">
        <v>46034</v>
      </c>
      <c r="B64" s="31" t="s">
        <v>93</v>
      </c>
      <c r="C64" s="31">
        <v>1</v>
      </c>
      <c r="D64" s="31" t="s">
        <v>60</v>
      </c>
      <c r="E64" s="31" t="s">
        <v>152</v>
      </c>
      <c r="F64" s="31" t="s">
        <v>153</v>
      </c>
      <c r="G64" s="31">
        <v>72851252</v>
      </c>
      <c r="H64" s="31" t="s">
        <v>52</v>
      </c>
      <c r="I64" s="31">
        <v>20</v>
      </c>
      <c r="J64" s="31" t="s">
        <v>50</v>
      </c>
      <c r="K64" s="31" t="s">
        <v>53</v>
      </c>
      <c r="L64" s="31" t="s">
        <v>54</v>
      </c>
      <c r="M64" s="31" t="s">
        <v>54</v>
      </c>
      <c r="N64" s="31" t="s">
        <v>157</v>
      </c>
      <c r="O64" s="31" t="s">
        <v>56</v>
      </c>
      <c r="P64" s="31" t="s">
        <v>81</v>
      </c>
      <c r="Q64" s="31">
        <v>49650</v>
      </c>
      <c r="R64" s="31" t="s">
        <v>57</v>
      </c>
      <c r="S64" s="31" t="s">
        <v>65</v>
      </c>
      <c r="T64" s="31" t="s">
        <v>58</v>
      </c>
      <c r="U64" s="31" t="s">
        <v>58</v>
      </c>
      <c r="V64" s="30">
        <v>46034</v>
      </c>
      <c r="W64" s="34">
        <v>0.41666666666666669</v>
      </c>
      <c r="X64" s="34">
        <v>0.5625</v>
      </c>
      <c r="Y64" s="31"/>
    </row>
    <row r="65" spans="1:25" ht="12.75" x14ac:dyDescent="0.2">
      <c r="A65" s="30">
        <v>46034</v>
      </c>
      <c r="B65" s="31" t="s">
        <v>97</v>
      </c>
      <c r="C65" s="31">
        <v>1</v>
      </c>
      <c r="D65" s="31" t="s">
        <v>60</v>
      </c>
      <c r="E65" s="31" t="s">
        <v>158</v>
      </c>
      <c r="F65" s="31">
        <v>10144432</v>
      </c>
      <c r="G65" s="31">
        <v>23966043</v>
      </c>
      <c r="H65" s="31" t="s">
        <v>52</v>
      </c>
      <c r="I65" s="31">
        <v>71</v>
      </c>
      <c r="J65" s="31" t="s">
        <v>50</v>
      </c>
      <c r="K65" s="31" t="s">
        <v>53</v>
      </c>
      <c r="L65" s="31" t="s">
        <v>54</v>
      </c>
      <c r="M65" s="31" t="s">
        <v>54</v>
      </c>
      <c r="N65" s="31" t="s">
        <v>109</v>
      </c>
      <c r="O65" s="31" t="s">
        <v>56</v>
      </c>
      <c r="P65" s="31" t="s">
        <v>81</v>
      </c>
      <c r="Q65" s="31">
        <v>47562</v>
      </c>
      <c r="R65" s="31" t="s">
        <v>57</v>
      </c>
      <c r="S65" s="31" t="s">
        <v>65</v>
      </c>
      <c r="T65" s="31" t="s">
        <v>58</v>
      </c>
      <c r="U65" s="31" t="s">
        <v>58</v>
      </c>
      <c r="V65" s="30">
        <v>46034</v>
      </c>
      <c r="W65" s="34">
        <v>0.60416666666666663</v>
      </c>
      <c r="X65" s="34">
        <v>0.67361111111111116</v>
      </c>
      <c r="Y65" s="31"/>
    </row>
    <row r="66" spans="1:25" ht="12.75" x14ac:dyDescent="0.2">
      <c r="A66" s="30">
        <v>46034</v>
      </c>
      <c r="B66" s="31" t="s">
        <v>100</v>
      </c>
      <c r="C66" s="31">
        <v>1</v>
      </c>
      <c r="D66" s="31" t="s">
        <v>60</v>
      </c>
      <c r="E66" s="31" t="s">
        <v>159</v>
      </c>
      <c r="F66" s="48">
        <v>22254408</v>
      </c>
      <c r="G66" s="31">
        <v>71443812</v>
      </c>
      <c r="H66" s="31" t="s">
        <v>140</v>
      </c>
      <c r="I66" s="31">
        <v>27</v>
      </c>
      <c r="J66" s="31" t="s">
        <v>50</v>
      </c>
      <c r="K66" s="31" t="s">
        <v>63</v>
      </c>
      <c r="L66" s="31" t="s">
        <v>54</v>
      </c>
      <c r="M66" s="31" t="s">
        <v>54</v>
      </c>
      <c r="N66" s="31" t="s">
        <v>109</v>
      </c>
      <c r="O66" s="31" t="s">
        <v>56</v>
      </c>
      <c r="P66" s="31" t="s">
        <v>81</v>
      </c>
      <c r="Q66" s="31">
        <v>475962</v>
      </c>
      <c r="R66" s="31" t="s">
        <v>57</v>
      </c>
      <c r="S66" s="31" t="s">
        <v>65</v>
      </c>
      <c r="T66" s="31" t="s">
        <v>58</v>
      </c>
      <c r="U66" s="31" t="s">
        <v>58</v>
      </c>
      <c r="V66" s="30">
        <v>46034</v>
      </c>
      <c r="W66" s="34">
        <v>0.70833333333333337</v>
      </c>
      <c r="X66" s="34">
        <v>0.79166666666666663</v>
      </c>
      <c r="Y66" s="31"/>
    </row>
    <row r="67" spans="1:25" ht="12.75" x14ac:dyDescent="0.2">
      <c r="A67" s="30">
        <v>46034</v>
      </c>
      <c r="B67" s="31" t="s">
        <v>59</v>
      </c>
      <c r="C67" s="31">
        <v>1</v>
      </c>
      <c r="D67" s="31" t="s">
        <v>60</v>
      </c>
      <c r="E67" s="31" t="s">
        <v>158</v>
      </c>
      <c r="F67" s="48">
        <v>10144432</v>
      </c>
      <c r="G67" s="31">
        <v>7918333</v>
      </c>
      <c r="H67" s="31" t="s">
        <v>52</v>
      </c>
      <c r="I67" s="31">
        <v>68</v>
      </c>
      <c r="J67" s="31" t="s">
        <v>50</v>
      </c>
      <c r="K67" s="31" t="s">
        <v>53</v>
      </c>
      <c r="L67" s="31" t="s">
        <v>54</v>
      </c>
      <c r="M67" s="31" t="s">
        <v>54</v>
      </c>
      <c r="N67" s="31" t="s">
        <v>160</v>
      </c>
      <c r="O67" s="31" t="s">
        <v>56</v>
      </c>
      <c r="P67" s="31" t="s">
        <v>81</v>
      </c>
      <c r="Q67" s="31">
        <v>49580</v>
      </c>
      <c r="R67" s="31" t="s">
        <v>57</v>
      </c>
      <c r="S67" s="31" t="s">
        <v>65</v>
      </c>
      <c r="T67" s="31" t="s">
        <v>58</v>
      </c>
      <c r="U67" s="31" t="s">
        <v>58</v>
      </c>
      <c r="V67" s="30">
        <v>46034</v>
      </c>
      <c r="W67" s="34">
        <v>0.375</v>
      </c>
      <c r="X67" s="34">
        <v>0.47916666666666669</v>
      </c>
      <c r="Y67" s="31"/>
    </row>
    <row r="68" spans="1:25" ht="12.75" x14ac:dyDescent="0.2">
      <c r="A68" s="30">
        <v>46034</v>
      </c>
      <c r="B68" s="31" t="s">
        <v>59</v>
      </c>
      <c r="C68" s="31">
        <v>1</v>
      </c>
      <c r="D68" s="31" t="s">
        <v>60</v>
      </c>
      <c r="E68" s="31" t="s">
        <v>161</v>
      </c>
      <c r="F68" s="48">
        <v>8125241</v>
      </c>
      <c r="G68" s="31">
        <v>45172977</v>
      </c>
      <c r="H68" s="31" t="s">
        <v>79</v>
      </c>
      <c r="I68" s="31">
        <v>37</v>
      </c>
      <c r="J68" s="31" t="s">
        <v>50</v>
      </c>
      <c r="K68" s="31" t="s">
        <v>70</v>
      </c>
      <c r="L68" s="31" t="s">
        <v>76</v>
      </c>
      <c r="M68" s="31" t="s">
        <v>54</v>
      </c>
      <c r="N68" s="31" t="s">
        <v>80</v>
      </c>
      <c r="O68" s="31" t="s">
        <v>56</v>
      </c>
      <c r="P68" s="31" t="s">
        <v>81</v>
      </c>
      <c r="Q68" s="31">
        <v>30520</v>
      </c>
      <c r="R68" s="31" t="s">
        <v>57</v>
      </c>
      <c r="S68" s="31" t="s">
        <v>65</v>
      </c>
      <c r="T68" s="31" t="s">
        <v>66</v>
      </c>
      <c r="U68" s="31" t="s">
        <v>58</v>
      </c>
      <c r="V68" s="30">
        <v>46034</v>
      </c>
      <c r="W68" s="34">
        <v>0.3611111111111111</v>
      </c>
      <c r="X68" s="34">
        <v>0.5</v>
      </c>
      <c r="Y68" s="31"/>
    </row>
    <row r="69" spans="1:25" ht="12.75" x14ac:dyDescent="0.2">
      <c r="A69" s="30">
        <v>46034</v>
      </c>
      <c r="B69" s="31" t="s">
        <v>67</v>
      </c>
      <c r="C69" s="31">
        <v>1</v>
      </c>
      <c r="D69" s="31" t="s">
        <v>50</v>
      </c>
      <c r="E69" s="31" t="s">
        <v>78</v>
      </c>
      <c r="F69" s="31">
        <v>43403659</v>
      </c>
      <c r="G69" s="31">
        <v>74716305</v>
      </c>
      <c r="H69" s="31" t="s">
        <v>79</v>
      </c>
      <c r="I69" s="31">
        <v>20</v>
      </c>
      <c r="J69" s="31" t="s">
        <v>50</v>
      </c>
      <c r="K69" s="31" t="s">
        <v>58</v>
      </c>
      <c r="L69" s="31" t="s">
        <v>76</v>
      </c>
      <c r="M69" s="31" t="s">
        <v>54</v>
      </c>
      <c r="N69" s="31" t="s">
        <v>80</v>
      </c>
      <c r="O69" s="31" t="s">
        <v>56</v>
      </c>
      <c r="P69" s="31" t="s">
        <v>81</v>
      </c>
      <c r="Q69" s="31">
        <v>30520</v>
      </c>
      <c r="R69" s="31" t="s">
        <v>57</v>
      </c>
      <c r="S69" s="31" t="s">
        <v>65</v>
      </c>
      <c r="T69" s="31" t="s">
        <v>66</v>
      </c>
      <c r="U69" s="31" t="s">
        <v>58</v>
      </c>
      <c r="V69" s="30">
        <v>46034</v>
      </c>
      <c r="W69" s="34">
        <v>0.51388888888888884</v>
      </c>
      <c r="X69" s="34">
        <v>0.58680555555555558</v>
      </c>
      <c r="Y69" s="31"/>
    </row>
    <row r="70" spans="1:25" ht="12.75" x14ac:dyDescent="0.2">
      <c r="A70" s="30">
        <v>46034</v>
      </c>
      <c r="B70" s="31" t="s">
        <v>59</v>
      </c>
      <c r="C70" s="31">
        <v>1</v>
      </c>
      <c r="D70" s="31" t="s">
        <v>60</v>
      </c>
      <c r="E70" s="31" t="s">
        <v>162</v>
      </c>
      <c r="F70" s="31" t="s">
        <v>163</v>
      </c>
      <c r="G70" s="31">
        <v>32432451</v>
      </c>
      <c r="H70" s="31" t="s">
        <v>73</v>
      </c>
      <c r="I70" s="31">
        <v>70</v>
      </c>
      <c r="J70" s="31" t="s">
        <v>50</v>
      </c>
      <c r="K70" s="31" t="s">
        <v>53</v>
      </c>
      <c r="L70" s="31" t="s">
        <v>54</v>
      </c>
      <c r="M70" s="31" t="s">
        <v>54</v>
      </c>
      <c r="N70" s="31" t="s">
        <v>102</v>
      </c>
      <c r="O70" s="31" t="s">
        <v>56</v>
      </c>
      <c r="P70" s="31" t="s">
        <v>81</v>
      </c>
      <c r="Q70" s="31">
        <v>27447</v>
      </c>
      <c r="R70" s="31" t="s">
        <v>57</v>
      </c>
      <c r="S70" s="31" t="s">
        <v>65</v>
      </c>
      <c r="T70" s="31" t="s">
        <v>58</v>
      </c>
      <c r="U70" s="31" t="s">
        <v>58</v>
      </c>
      <c r="V70" s="30">
        <v>46034</v>
      </c>
      <c r="W70" s="49">
        <v>46089</v>
      </c>
      <c r="X70" s="49">
        <v>46034</v>
      </c>
      <c r="Y70" s="31"/>
    </row>
    <row r="71" spans="1:25" ht="12.75" x14ac:dyDescent="0.2">
      <c r="A71" s="30">
        <v>46034</v>
      </c>
      <c r="B71" s="31" t="s">
        <v>67</v>
      </c>
      <c r="C71" s="31">
        <v>1</v>
      </c>
      <c r="D71" s="31" t="s">
        <v>60</v>
      </c>
      <c r="E71" s="31" t="s">
        <v>162</v>
      </c>
      <c r="F71" s="31" t="s">
        <v>163</v>
      </c>
      <c r="G71" s="31">
        <v>43293168</v>
      </c>
      <c r="H71" s="31" t="s">
        <v>73</v>
      </c>
      <c r="I71" s="31">
        <v>69</v>
      </c>
      <c r="J71" s="31" t="s">
        <v>50</v>
      </c>
      <c r="K71" s="31" t="s">
        <v>53</v>
      </c>
      <c r="L71" s="31" t="s">
        <v>54</v>
      </c>
      <c r="M71" s="31" t="s">
        <v>54</v>
      </c>
      <c r="N71" s="31" t="s">
        <v>164</v>
      </c>
      <c r="O71" s="31" t="s">
        <v>56</v>
      </c>
      <c r="P71" s="31" t="s">
        <v>81</v>
      </c>
      <c r="Q71" s="31">
        <v>64725</v>
      </c>
      <c r="R71" s="31" t="s">
        <v>57</v>
      </c>
      <c r="S71" s="31" t="s">
        <v>65</v>
      </c>
      <c r="T71" s="31" t="s">
        <v>58</v>
      </c>
      <c r="U71" s="31" t="s">
        <v>58</v>
      </c>
      <c r="V71" s="30">
        <v>46034</v>
      </c>
      <c r="W71" s="49">
        <v>46065</v>
      </c>
      <c r="X71" s="49">
        <v>46066</v>
      </c>
      <c r="Y71" s="31"/>
    </row>
    <row r="72" spans="1:25" ht="12.75" x14ac:dyDescent="0.2">
      <c r="A72" s="30">
        <v>46032</v>
      </c>
      <c r="B72" s="31" t="s">
        <v>49</v>
      </c>
      <c r="C72" s="31">
        <v>1</v>
      </c>
      <c r="D72" s="31" t="s">
        <v>60</v>
      </c>
      <c r="E72" s="31" t="s">
        <v>110</v>
      </c>
      <c r="F72" s="31">
        <v>23928859</v>
      </c>
      <c r="G72" s="31">
        <v>8348474</v>
      </c>
      <c r="H72" s="31" t="s">
        <v>52</v>
      </c>
      <c r="I72" s="31">
        <v>75</v>
      </c>
      <c r="J72" s="31" t="s">
        <v>50</v>
      </c>
      <c r="K72" s="31" t="s">
        <v>103</v>
      </c>
      <c r="L72" s="31" t="s">
        <v>58</v>
      </c>
      <c r="M72" s="31" t="s">
        <v>54</v>
      </c>
      <c r="N72" s="31" t="s">
        <v>165</v>
      </c>
      <c r="O72" s="31" t="s">
        <v>56</v>
      </c>
      <c r="P72" s="31" t="s">
        <v>81</v>
      </c>
      <c r="Q72" s="31">
        <v>479000</v>
      </c>
      <c r="R72" s="31" t="s">
        <v>57</v>
      </c>
      <c r="S72" s="31" t="s">
        <v>57</v>
      </c>
      <c r="T72" s="31" t="s">
        <v>58</v>
      </c>
      <c r="U72" s="31" t="s">
        <v>58</v>
      </c>
      <c r="V72" s="30">
        <v>46032</v>
      </c>
      <c r="W72" s="34">
        <v>0.72916666666666663</v>
      </c>
      <c r="X72" s="34">
        <v>0.81944444444444442</v>
      </c>
      <c r="Y72" s="31"/>
    </row>
    <row r="73" spans="1:25" ht="12.75" x14ac:dyDescent="0.2">
      <c r="A73" s="30">
        <v>46033</v>
      </c>
      <c r="B73" s="31" t="s">
        <v>49</v>
      </c>
      <c r="C73" s="31">
        <v>1</v>
      </c>
      <c r="D73" s="31" t="s">
        <v>50</v>
      </c>
      <c r="E73" s="31" t="s">
        <v>87</v>
      </c>
      <c r="F73" s="31">
        <v>45125864</v>
      </c>
      <c r="G73" s="31">
        <v>71997886</v>
      </c>
      <c r="H73" s="31" t="s">
        <v>88</v>
      </c>
      <c r="I73" s="31">
        <v>27</v>
      </c>
      <c r="J73" s="31" t="s">
        <v>50</v>
      </c>
      <c r="K73" s="31" t="s">
        <v>70</v>
      </c>
      <c r="L73" s="31" t="s">
        <v>76</v>
      </c>
      <c r="M73" s="31" t="s">
        <v>54</v>
      </c>
      <c r="N73" s="31" t="s">
        <v>166</v>
      </c>
      <c r="O73" s="31" t="s">
        <v>56</v>
      </c>
      <c r="P73" s="31" t="s">
        <v>81</v>
      </c>
      <c r="Q73" s="31">
        <v>61322</v>
      </c>
      <c r="R73" s="31" t="s">
        <v>128</v>
      </c>
      <c r="S73" s="31" t="s">
        <v>57</v>
      </c>
      <c r="T73" s="31" t="s">
        <v>129</v>
      </c>
      <c r="U73" s="31" t="s">
        <v>58</v>
      </c>
      <c r="V73" s="30">
        <v>46033</v>
      </c>
      <c r="W73" s="34">
        <v>0.79166666666666663</v>
      </c>
      <c r="X73" s="34">
        <v>0</v>
      </c>
      <c r="Y73" s="31"/>
    </row>
    <row r="74" spans="1:25" ht="12.75" x14ac:dyDescent="0.2">
      <c r="A74" s="30">
        <v>46034</v>
      </c>
      <c r="B74" s="31" t="s">
        <v>127</v>
      </c>
      <c r="C74" s="31">
        <v>1</v>
      </c>
      <c r="D74" s="31" t="s">
        <v>60</v>
      </c>
      <c r="E74" s="31" t="s">
        <v>108</v>
      </c>
      <c r="F74" s="31">
        <v>25542321</v>
      </c>
      <c r="G74" s="48">
        <v>45422089</v>
      </c>
      <c r="H74" s="31" t="s">
        <v>52</v>
      </c>
      <c r="I74" s="31">
        <v>37</v>
      </c>
      <c r="J74" s="31" t="s">
        <v>50</v>
      </c>
      <c r="K74" s="31" t="s">
        <v>70</v>
      </c>
      <c r="L74" s="31" t="s">
        <v>76</v>
      </c>
      <c r="M74" s="31" t="s">
        <v>54</v>
      </c>
      <c r="N74" s="31" t="s">
        <v>154</v>
      </c>
      <c r="O74" s="31" t="s">
        <v>56</v>
      </c>
      <c r="P74" s="31" t="s">
        <v>81</v>
      </c>
      <c r="Q74" s="31">
        <v>47562</v>
      </c>
      <c r="R74" s="31" t="s">
        <v>57</v>
      </c>
      <c r="S74" s="31" t="s">
        <v>57</v>
      </c>
      <c r="T74" s="31" t="s">
        <v>58</v>
      </c>
      <c r="U74" s="31" t="s">
        <v>58</v>
      </c>
      <c r="V74" s="30">
        <v>46034</v>
      </c>
      <c r="W74" s="34">
        <v>0.26041666666666669</v>
      </c>
      <c r="X74" s="34">
        <v>0.375</v>
      </c>
      <c r="Y74" s="31"/>
    </row>
    <row r="75" spans="1:25" ht="12.75" x14ac:dyDescent="0.2">
      <c r="A75" s="30">
        <v>46035</v>
      </c>
      <c r="B75" s="31" t="s">
        <v>59</v>
      </c>
      <c r="C75" s="31">
        <v>1</v>
      </c>
      <c r="D75" s="31" t="s">
        <v>60</v>
      </c>
      <c r="E75" s="31" t="s">
        <v>167</v>
      </c>
      <c r="F75" s="31">
        <v>8106498</v>
      </c>
      <c r="G75" s="31">
        <v>43397327</v>
      </c>
      <c r="H75" s="31" t="s">
        <v>125</v>
      </c>
      <c r="I75" s="31">
        <v>76</v>
      </c>
      <c r="J75" s="31" t="s">
        <v>50</v>
      </c>
      <c r="K75" s="31" t="s">
        <v>53</v>
      </c>
      <c r="L75" s="31" t="s">
        <v>58</v>
      </c>
      <c r="M75" s="31" t="s">
        <v>54</v>
      </c>
      <c r="N75" s="31" t="s">
        <v>126</v>
      </c>
      <c r="O75" s="31" t="s">
        <v>56</v>
      </c>
      <c r="P75" s="31" t="s">
        <v>81</v>
      </c>
      <c r="Q75" s="31">
        <v>66982</v>
      </c>
      <c r="R75" s="31" t="s">
        <v>57</v>
      </c>
      <c r="S75" s="31" t="s">
        <v>65</v>
      </c>
      <c r="T75" s="31" t="s">
        <v>66</v>
      </c>
      <c r="U75" s="31" t="s">
        <v>58</v>
      </c>
      <c r="V75" s="30">
        <v>46035</v>
      </c>
      <c r="W75" s="34">
        <v>0.33333333333333331</v>
      </c>
      <c r="X75" s="34">
        <v>0.375</v>
      </c>
      <c r="Y75" s="31"/>
    </row>
    <row r="76" spans="1:25" ht="12.75" x14ac:dyDescent="0.2">
      <c r="A76" s="30">
        <v>46035</v>
      </c>
      <c r="B76" s="31" t="s">
        <v>59</v>
      </c>
      <c r="C76" s="31">
        <v>1</v>
      </c>
      <c r="D76" s="31" t="s">
        <v>60</v>
      </c>
      <c r="E76" s="31" t="s">
        <v>168</v>
      </c>
      <c r="F76" s="31">
        <v>17817816</v>
      </c>
      <c r="G76" s="31">
        <v>43389732</v>
      </c>
      <c r="H76" s="31" t="s">
        <v>83</v>
      </c>
      <c r="I76" s="31">
        <v>65</v>
      </c>
      <c r="J76" s="31" t="s">
        <v>50</v>
      </c>
      <c r="K76" s="31" t="s">
        <v>53</v>
      </c>
      <c r="L76" s="31" t="s">
        <v>58</v>
      </c>
      <c r="M76" s="31" t="s">
        <v>54</v>
      </c>
      <c r="N76" s="31" t="s">
        <v>169</v>
      </c>
      <c r="O76" s="31" t="s">
        <v>56</v>
      </c>
      <c r="P76" s="31" t="s">
        <v>81</v>
      </c>
      <c r="Q76" s="31">
        <v>55840</v>
      </c>
      <c r="R76" s="31" t="s">
        <v>63</v>
      </c>
      <c r="S76" s="31" t="s">
        <v>65</v>
      </c>
      <c r="T76" s="31" t="s">
        <v>50</v>
      </c>
      <c r="U76" s="31" t="s">
        <v>58</v>
      </c>
      <c r="V76" s="30">
        <v>46035</v>
      </c>
      <c r="W76" s="34">
        <v>0.35416666666666669</v>
      </c>
      <c r="X76" s="34">
        <v>0.58333333333333337</v>
      </c>
      <c r="Y76" s="31"/>
    </row>
    <row r="77" spans="1:25" ht="12.75" x14ac:dyDescent="0.2">
      <c r="A77" s="30">
        <v>46035</v>
      </c>
      <c r="B77" s="31" t="s">
        <v>59</v>
      </c>
      <c r="C77" s="31">
        <v>1</v>
      </c>
      <c r="D77" s="31" t="s">
        <v>60</v>
      </c>
      <c r="E77" s="31" t="s">
        <v>170</v>
      </c>
      <c r="F77" s="48">
        <v>10796086</v>
      </c>
      <c r="G77" s="31">
        <v>5382934</v>
      </c>
      <c r="H77" s="31" t="s">
        <v>171</v>
      </c>
      <c r="I77" s="31">
        <v>50</v>
      </c>
      <c r="J77" s="31" t="s">
        <v>63</v>
      </c>
      <c r="K77" s="31" t="s">
        <v>63</v>
      </c>
      <c r="L77" s="31" t="s">
        <v>76</v>
      </c>
      <c r="M77" s="31" t="s">
        <v>54</v>
      </c>
      <c r="N77" s="31" t="s">
        <v>172</v>
      </c>
      <c r="O77" s="31" t="s">
        <v>56</v>
      </c>
      <c r="P77" s="31" t="s">
        <v>81</v>
      </c>
      <c r="Q77" s="31">
        <v>58571</v>
      </c>
      <c r="R77" s="31" t="s">
        <v>57</v>
      </c>
      <c r="S77" s="31" t="s">
        <v>65</v>
      </c>
      <c r="T77" s="31" t="s">
        <v>58</v>
      </c>
      <c r="U77" s="31" t="s">
        <v>58</v>
      </c>
      <c r="V77" s="30">
        <v>46035</v>
      </c>
      <c r="W77" s="34">
        <v>0.375</v>
      </c>
      <c r="X77" s="34">
        <v>0.52083333333333337</v>
      </c>
      <c r="Y77" s="31"/>
    </row>
    <row r="78" spans="1:25" ht="12.75" x14ac:dyDescent="0.2">
      <c r="A78" s="30">
        <v>46035</v>
      </c>
      <c r="B78" s="31" t="s">
        <v>67</v>
      </c>
      <c r="C78" s="31">
        <v>1</v>
      </c>
      <c r="D78" s="31" t="s">
        <v>60</v>
      </c>
      <c r="E78" s="31" t="s">
        <v>170</v>
      </c>
      <c r="F78" s="31">
        <v>10796086</v>
      </c>
      <c r="G78" s="31">
        <v>41590155</v>
      </c>
      <c r="H78" s="31" t="s">
        <v>171</v>
      </c>
      <c r="I78" s="31">
        <v>44</v>
      </c>
      <c r="J78" s="31" t="s">
        <v>63</v>
      </c>
      <c r="K78" s="31" t="s">
        <v>63</v>
      </c>
      <c r="L78" s="31" t="s">
        <v>54</v>
      </c>
      <c r="M78" s="31" t="s">
        <v>54</v>
      </c>
      <c r="N78" s="31" t="s">
        <v>173</v>
      </c>
      <c r="O78" s="31" t="s">
        <v>56</v>
      </c>
      <c r="P78" s="31" t="s">
        <v>81</v>
      </c>
      <c r="Q78" s="31">
        <v>58570</v>
      </c>
      <c r="R78" s="31"/>
      <c r="S78" s="31" t="s">
        <v>65</v>
      </c>
      <c r="T78" s="31"/>
      <c r="U78" s="31" t="s">
        <v>70</v>
      </c>
      <c r="V78" s="30">
        <v>46035</v>
      </c>
      <c r="W78" s="34"/>
      <c r="X78" s="34"/>
      <c r="Y78" s="31"/>
    </row>
    <row r="79" spans="1:25" ht="12.75" x14ac:dyDescent="0.2">
      <c r="A79" s="30">
        <v>46035</v>
      </c>
      <c r="B79" s="31" t="s">
        <v>69</v>
      </c>
      <c r="C79" s="31">
        <v>1</v>
      </c>
      <c r="D79" s="31" t="s">
        <v>60</v>
      </c>
      <c r="E79" s="31" t="s">
        <v>170</v>
      </c>
      <c r="F79" s="48">
        <v>10796086</v>
      </c>
      <c r="G79" s="31">
        <v>6081488</v>
      </c>
      <c r="H79" s="31" t="s">
        <v>171</v>
      </c>
      <c r="I79" s="31">
        <v>73</v>
      </c>
      <c r="J79" s="31" t="s">
        <v>63</v>
      </c>
      <c r="K79" s="31" t="s">
        <v>63</v>
      </c>
      <c r="L79" s="31" t="s">
        <v>54</v>
      </c>
      <c r="M79" s="31" t="s">
        <v>54</v>
      </c>
      <c r="N79" s="31" t="s">
        <v>173</v>
      </c>
      <c r="O79" s="31" t="s">
        <v>56</v>
      </c>
      <c r="P79" s="31" t="s">
        <v>81</v>
      </c>
      <c r="Q79" s="31">
        <v>57260</v>
      </c>
      <c r="R79" s="31" t="s">
        <v>57</v>
      </c>
      <c r="S79" s="31" t="s">
        <v>65</v>
      </c>
      <c r="T79" s="31" t="s">
        <v>58</v>
      </c>
      <c r="U79" s="31" t="s">
        <v>58</v>
      </c>
      <c r="V79" s="30">
        <v>46035</v>
      </c>
      <c r="W79" s="34">
        <v>0.54166666666666663</v>
      </c>
      <c r="X79" s="34">
        <v>0.60416666666666663</v>
      </c>
      <c r="Y79" s="31"/>
    </row>
    <row r="80" spans="1:25" ht="12.75" x14ac:dyDescent="0.2">
      <c r="A80" s="30">
        <v>46035</v>
      </c>
      <c r="B80" s="31" t="s">
        <v>59</v>
      </c>
      <c r="C80" s="31">
        <v>1</v>
      </c>
      <c r="D80" s="31" t="s">
        <v>60</v>
      </c>
      <c r="E80" s="31" t="s">
        <v>142</v>
      </c>
      <c r="F80" s="48">
        <v>45782157</v>
      </c>
      <c r="G80" s="31" t="s">
        <v>143</v>
      </c>
      <c r="H80" s="31" t="s">
        <v>52</v>
      </c>
      <c r="I80" s="31">
        <v>22</v>
      </c>
      <c r="J80" s="31" t="s">
        <v>63</v>
      </c>
      <c r="K80" s="31" t="s">
        <v>103</v>
      </c>
      <c r="L80" s="31" t="s">
        <v>54</v>
      </c>
      <c r="M80" s="31" t="s">
        <v>54</v>
      </c>
      <c r="N80" s="31" t="s">
        <v>109</v>
      </c>
      <c r="O80" s="31" t="s">
        <v>56</v>
      </c>
      <c r="P80" s="31" t="s">
        <v>81</v>
      </c>
      <c r="Q80" s="31">
        <v>47.561999999999998</v>
      </c>
      <c r="R80" s="31" t="s">
        <v>57</v>
      </c>
      <c r="S80" s="31" t="s">
        <v>65</v>
      </c>
      <c r="T80" s="31" t="s">
        <v>58</v>
      </c>
      <c r="U80" s="31" t="s">
        <v>58</v>
      </c>
      <c r="V80" s="30">
        <v>46035</v>
      </c>
      <c r="W80" s="34">
        <v>0.34722222222222221</v>
      </c>
      <c r="X80" s="34">
        <v>0.45833333333333331</v>
      </c>
      <c r="Y80" s="31"/>
    </row>
    <row r="81" spans="1:25" ht="12.75" x14ac:dyDescent="0.2">
      <c r="A81" s="30">
        <v>46035</v>
      </c>
      <c r="B81" s="31" t="s">
        <v>59</v>
      </c>
      <c r="C81" s="31">
        <v>1</v>
      </c>
      <c r="D81" s="31" t="s">
        <v>60</v>
      </c>
      <c r="E81" s="31" t="s">
        <v>159</v>
      </c>
      <c r="F81" s="48">
        <v>22254408</v>
      </c>
      <c r="G81" s="48">
        <v>302984800</v>
      </c>
      <c r="H81" s="31" t="s">
        <v>140</v>
      </c>
      <c r="I81" s="31">
        <v>92</v>
      </c>
      <c r="J81" s="31" t="s">
        <v>50</v>
      </c>
      <c r="K81" s="31" t="s">
        <v>103</v>
      </c>
      <c r="L81" s="31" t="s">
        <v>54</v>
      </c>
      <c r="M81" s="31" t="s">
        <v>54</v>
      </c>
      <c r="N81" s="31" t="s">
        <v>174</v>
      </c>
      <c r="O81" s="31" t="s">
        <v>56</v>
      </c>
      <c r="P81" s="31" t="s">
        <v>81</v>
      </c>
      <c r="Q81" s="31">
        <v>49900</v>
      </c>
      <c r="R81" s="31"/>
      <c r="S81" s="31" t="s">
        <v>65</v>
      </c>
      <c r="T81" s="31"/>
      <c r="U81" s="31" t="s">
        <v>70</v>
      </c>
      <c r="V81" s="30">
        <v>46035</v>
      </c>
      <c r="W81" s="34"/>
      <c r="X81" s="34"/>
      <c r="Y81" s="31"/>
    </row>
    <row r="82" spans="1:25" ht="12.75" x14ac:dyDescent="0.2">
      <c r="A82" s="30">
        <v>46035</v>
      </c>
      <c r="B82" s="31" t="s">
        <v>67</v>
      </c>
      <c r="C82" s="31">
        <v>1</v>
      </c>
      <c r="D82" s="31" t="s">
        <v>60</v>
      </c>
      <c r="E82" s="31" t="s">
        <v>142</v>
      </c>
      <c r="F82" s="31">
        <v>45782157</v>
      </c>
      <c r="G82" s="48">
        <v>45422089</v>
      </c>
      <c r="H82" s="31" t="s">
        <v>52</v>
      </c>
      <c r="I82" s="31">
        <v>64</v>
      </c>
      <c r="J82" s="31" t="s">
        <v>50</v>
      </c>
      <c r="K82" s="31" t="s">
        <v>103</v>
      </c>
      <c r="L82" s="31" t="s">
        <v>54</v>
      </c>
      <c r="M82" s="31" t="s">
        <v>54</v>
      </c>
      <c r="N82" s="31" t="s">
        <v>175</v>
      </c>
      <c r="O82" s="31" t="s">
        <v>56</v>
      </c>
      <c r="P82" s="31" t="s">
        <v>81</v>
      </c>
      <c r="Q82" s="31">
        <v>10.119999999999999</v>
      </c>
      <c r="R82" s="31" t="s">
        <v>57</v>
      </c>
      <c r="S82" s="31" t="s">
        <v>65</v>
      </c>
      <c r="T82" s="31" t="s">
        <v>58</v>
      </c>
      <c r="U82" s="31" t="s">
        <v>58</v>
      </c>
      <c r="V82" s="30">
        <v>46035</v>
      </c>
      <c r="W82" s="34">
        <v>0.4513888888888889</v>
      </c>
      <c r="X82" s="34">
        <v>0.54861111111111116</v>
      </c>
      <c r="Y82" s="31"/>
    </row>
    <row r="83" spans="1:25" ht="12.75" x14ac:dyDescent="0.2">
      <c r="A83" s="30">
        <v>46036</v>
      </c>
      <c r="B83" s="31" t="s">
        <v>59</v>
      </c>
      <c r="C83" s="31">
        <v>1</v>
      </c>
      <c r="D83" s="31" t="s">
        <v>60</v>
      </c>
      <c r="E83" s="31" t="s">
        <v>61</v>
      </c>
      <c r="F83" s="48">
        <v>21523144</v>
      </c>
      <c r="G83" s="31">
        <v>61807519</v>
      </c>
      <c r="H83" s="31" t="s">
        <v>62</v>
      </c>
      <c r="I83" s="31">
        <v>18</v>
      </c>
      <c r="J83" s="31" t="s">
        <v>50</v>
      </c>
      <c r="K83" s="31" t="s">
        <v>63</v>
      </c>
      <c r="L83" s="31" t="s">
        <v>54</v>
      </c>
      <c r="M83" s="31" t="s">
        <v>54</v>
      </c>
      <c r="N83" s="31" t="s">
        <v>64</v>
      </c>
      <c r="O83" s="31" t="s">
        <v>56</v>
      </c>
      <c r="P83" s="31" t="s">
        <v>50</v>
      </c>
      <c r="Q83" s="31">
        <v>90874</v>
      </c>
      <c r="R83" s="31" t="s">
        <v>57</v>
      </c>
      <c r="S83" s="31" t="s">
        <v>65</v>
      </c>
      <c r="T83" s="31" t="s">
        <v>66</v>
      </c>
      <c r="U83" s="31" t="s">
        <v>58</v>
      </c>
      <c r="V83" s="30">
        <v>46036</v>
      </c>
      <c r="W83" s="34">
        <v>0.33333333333333331</v>
      </c>
      <c r="X83" s="34">
        <v>0.375</v>
      </c>
      <c r="Y83" s="31"/>
    </row>
    <row r="84" spans="1:25" ht="12.75" x14ac:dyDescent="0.2">
      <c r="A84" s="30">
        <v>46036</v>
      </c>
      <c r="B84" s="31" t="s">
        <v>67</v>
      </c>
      <c r="C84" s="31">
        <v>1</v>
      </c>
      <c r="D84" s="31" t="s">
        <v>50</v>
      </c>
      <c r="E84" s="31" t="s">
        <v>176</v>
      </c>
      <c r="F84" s="31">
        <v>21523144</v>
      </c>
      <c r="G84" s="31">
        <v>76540189</v>
      </c>
      <c r="H84" s="31" t="s">
        <v>177</v>
      </c>
      <c r="I84" s="31">
        <v>24</v>
      </c>
      <c r="J84" s="31" t="s">
        <v>50</v>
      </c>
      <c r="K84" s="31" t="s">
        <v>63</v>
      </c>
      <c r="L84" s="31" t="s">
        <v>54</v>
      </c>
      <c r="M84" s="31" t="s">
        <v>54</v>
      </c>
      <c r="N84" s="31" t="s">
        <v>64</v>
      </c>
      <c r="O84" s="31" t="s">
        <v>56</v>
      </c>
      <c r="P84" s="31" t="s">
        <v>50</v>
      </c>
      <c r="Q84" s="31">
        <v>90874</v>
      </c>
      <c r="R84" s="31"/>
      <c r="S84" s="31" t="s">
        <v>65</v>
      </c>
      <c r="T84" s="31"/>
      <c r="U84" s="31" t="s">
        <v>70</v>
      </c>
      <c r="V84" s="30">
        <v>46036</v>
      </c>
      <c r="W84" s="34"/>
      <c r="X84" s="34"/>
      <c r="Y84" s="31"/>
    </row>
    <row r="85" spans="1:25" ht="12.75" x14ac:dyDescent="0.2">
      <c r="A85" s="30">
        <v>46036</v>
      </c>
      <c r="B85" s="31" t="s">
        <v>69</v>
      </c>
      <c r="C85" s="31">
        <v>1</v>
      </c>
      <c r="D85" s="31" t="s">
        <v>60</v>
      </c>
      <c r="E85" s="31" t="s">
        <v>61</v>
      </c>
      <c r="F85" s="31">
        <v>21523144</v>
      </c>
      <c r="G85" s="31">
        <v>9145142</v>
      </c>
      <c r="H85" s="31" t="s">
        <v>62</v>
      </c>
      <c r="I85" s="31">
        <v>59</v>
      </c>
      <c r="J85" s="31" t="s">
        <v>63</v>
      </c>
      <c r="K85" s="31" t="s">
        <v>63</v>
      </c>
      <c r="L85" s="31" t="s">
        <v>54</v>
      </c>
      <c r="M85" s="31" t="s">
        <v>54</v>
      </c>
      <c r="N85" s="31" t="s">
        <v>64</v>
      </c>
      <c r="O85" s="31" t="s">
        <v>56</v>
      </c>
      <c r="P85" s="31" t="s">
        <v>50</v>
      </c>
      <c r="Q85" s="31">
        <v>90874</v>
      </c>
      <c r="R85" s="31" t="s">
        <v>57</v>
      </c>
      <c r="S85" s="31" t="s">
        <v>65</v>
      </c>
      <c r="T85" s="31" t="s">
        <v>66</v>
      </c>
      <c r="U85" s="31" t="s">
        <v>58</v>
      </c>
      <c r="V85" s="30">
        <v>46036</v>
      </c>
      <c r="W85" s="34">
        <v>0.375</v>
      </c>
      <c r="X85" s="34">
        <v>0.41666666666666669</v>
      </c>
      <c r="Y85" s="31"/>
    </row>
    <row r="86" spans="1:25" ht="12.75" x14ac:dyDescent="0.2">
      <c r="A86" s="30">
        <v>46036</v>
      </c>
      <c r="B86" s="31" t="s">
        <v>59</v>
      </c>
      <c r="C86" s="31">
        <v>1</v>
      </c>
      <c r="D86" s="31" t="s">
        <v>60</v>
      </c>
      <c r="E86" s="31" t="s">
        <v>167</v>
      </c>
      <c r="F86" s="31" t="s">
        <v>178</v>
      </c>
      <c r="G86" s="31">
        <v>29674084</v>
      </c>
      <c r="H86" s="31" t="s">
        <v>125</v>
      </c>
      <c r="I86" s="31">
        <v>50</v>
      </c>
      <c r="J86" s="31" t="s">
        <v>50</v>
      </c>
      <c r="K86" s="31" t="s">
        <v>53</v>
      </c>
      <c r="L86" s="31" t="s">
        <v>54</v>
      </c>
      <c r="M86" s="31" t="s">
        <v>54</v>
      </c>
      <c r="N86" s="31" t="s">
        <v>126</v>
      </c>
      <c r="O86" s="31" t="s">
        <v>56</v>
      </c>
      <c r="P86" s="31" t="s">
        <v>81</v>
      </c>
      <c r="Q86" s="31">
        <v>66982</v>
      </c>
      <c r="R86" s="31" t="s">
        <v>57</v>
      </c>
      <c r="S86" s="31" t="s">
        <v>65</v>
      </c>
      <c r="T86" s="31" t="s">
        <v>66</v>
      </c>
      <c r="U86" s="31" t="s">
        <v>58</v>
      </c>
      <c r="V86" s="30">
        <v>46036</v>
      </c>
      <c r="W86" s="34">
        <v>0.33333333333333331</v>
      </c>
      <c r="X86" s="34">
        <v>0.375</v>
      </c>
      <c r="Y86" s="31"/>
    </row>
    <row r="87" spans="1:25" ht="12.75" x14ac:dyDescent="0.2">
      <c r="A87" s="30">
        <v>46036</v>
      </c>
      <c r="B87" s="31" t="s">
        <v>67</v>
      </c>
      <c r="C87" s="31">
        <v>1</v>
      </c>
      <c r="D87" s="31" t="s">
        <v>60</v>
      </c>
      <c r="E87" s="31" t="s">
        <v>167</v>
      </c>
      <c r="F87" s="31" t="s">
        <v>178</v>
      </c>
      <c r="G87" s="31">
        <v>10809607</v>
      </c>
      <c r="H87" s="31" t="s">
        <v>125</v>
      </c>
      <c r="I87" s="31">
        <v>72</v>
      </c>
      <c r="J87" s="31" t="s">
        <v>50</v>
      </c>
      <c r="K87" s="31" t="s">
        <v>53</v>
      </c>
      <c r="L87" s="31" t="s">
        <v>54</v>
      </c>
      <c r="M87" s="31" t="s">
        <v>54</v>
      </c>
      <c r="N87" s="31" t="s">
        <v>126</v>
      </c>
      <c r="O87" s="31" t="s">
        <v>56</v>
      </c>
      <c r="P87" s="31" t="s">
        <v>81</v>
      </c>
      <c r="Q87" s="31">
        <v>66982</v>
      </c>
      <c r="R87" s="31" t="s">
        <v>57</v>
      </c>
      <c r="S87" s="31" t="s">
        <v>65</v>
      </c>
      <c r="T87" s="31" t="s">
        <v>66</v>
      </c>
      <c r="U87" s="31" t="s">
        <v>58</v>
      </c>
      <c r="V87" s="30">
        <v>46036</v>
      </c>
      <c r="W87" s="34">
        <v>0.375</v>
      </c>
      <c r="X87" s="34">
        <v>0.41666666666666669</v>
      </c>
      <c r="Y87" s="31"/>
    </row>
    <row r="88" spans="1:25" ht="12.75" x14ac:dyDescent="0.2">
      <c r="A88" s="30">
        <v>46036</v>
      </c>
      <c r="B88" s="31" t="s">
        <v>59</v>
      </c>
      <c r="C88" s="31">
        <v>1</v>
      </c>
      <c r="D88" s="31" t="s">
        <v>60</v>
      </c>
      <c r="E88" s="31" t="s">
        <v>158</v>
      </c>
      <c r="F88" s="48">
        <v>10144432</v>
      </c>
      <c r="G88" s="31">
        <v>31120130</v>
      </c>
      <c r="H88" s="31" t="s">
        <v>52</v>
      </c>
      <c r="I88" s="31">
        <v>97</v>
      </c>
      <c r="J88" s="31" t="s">
        <v>63</v>
      </c>
      <c r="K88" s="31" t="s">
        <v>63</v>
      </c>
      <c r="L88" s="31" t="s">
        <v>54</v>
      </c>
      <c r="M88" s="31" t="s">
        <v>54</v>
      </c>
      <c r="N88" s="31" t="s">
        <v>179</v>
      </c>
      <c r="O88" s="31" t="s">
        <v>56</v>
      </c>
      <c r="P88" s="31" t="s">
        <v>81</v>
      </c>
      <c r="Q88" s="31">
        <v>27337</v>
      </c>
      <c r="R88" s="31" t="s">
        <v>57</v>
      </c>
      <c r="S88" s="31" t="s">
        <v>65</v>
      </c>
      <c r="T88" s="31" t="s">
        <v>58</v>
      </c>
      <c r="U88" s="31" t="s">
        <v>58</v>
      </c>
      <c r="V88" s="30">
        <v>46036</v>
      </c>
      <c r="W88" s="34">
        <v>0.35416666666666669</v>
      </c>
      <c r="X88" s="34">
        <v>0.44791666666666669</v>
      </c>
      <c r="Y88" s="31"/>
    </row>
    <row r="89" spans="1:25" ht="12.75" x14ac:dyDescent="0.2">
      <c r="A89" s="30">
        <v>46036</v>
      </c>
      <c r="B89" s="31" t="s">
        <v>67</v>
      </c>
      <c r="C89" s="31">
        <v>1</v>
      </c>
      <c r="D89" s="31" t="s">
        <v>60</v>
      </c>
      <c r="E89" s="31" t="s">
        <v>159</v>
      </c>
      <c r="F89" s="48">
        <v>22254408</v>
      </c>
      <c r="G89" s="31">
        <v>31783420</v>
      </c>
      <c r="H89" s="31" t="s">
        <v>140</v>
      </c>
      <c r="I89" s="31">
        <v>92</v>
      </c>
      <c r="J89" s="31" t="s">
        <v>50</v>
      </c>
      <c r="K89" s="31" t="s">
        <v>53</v>
      </c>
      <c r="L89" s="31" t="s">
        <v>58</v>
      </c>
      <c r="M89" s="31" t="s">
        <v>54</v>
      </c>
      <c r="N89" s="31" t="s">
        <v>174</v>
      </c>
      <c r="O89" s="31" t="s">
        <v>56</v>
      </c>
      <c r="P89" s="31" t="s">
        <v>81</v>
      </c>
      <c r="Q89" s="31">
        <v>49900</v>
      </c>
      <c r="R89" s="31" t="s">
        <v>57</v>
      </c>
      <c r="S89" s="31" t="s">
        <v>65</v>
      </c>
      <c r="T89" s="31" t="s">
        <v>129</v>
      </c>
      <c r="U89" s="31" t="s">
        <v>58</v>
      </c>
      <c r="V89" s="30">
        <v>46036</v>
      </c>
      <c r="W89" s="34">
        <v>0.46527777777777779</v>
      </c>
      <c r="X89" s="34">
        <v>0.58333333333333337</v>
      </c>
      <c r="Y89" s="31"/>
    </row>
    <row r="90" spans="1:25" ht="12.75" x14ac:dyDescent="0.2">
      <c r="A90" s="30">
        <v>46036</v>
      </c>
      <c r="B90" s="31" t="s">
        <v>59</v>
      </c>
      <c r="C90" s="31">
        <v>1</v>
      </c>
      <c r="D90" s="31" t="s">
        <v>50</v>
      </c>
      <c r="E90" s="31" t="s">
        <v>180</v>
      </c>
      <c r="F90" s="48">
        <v>43403659</v>
      </c>
      <c r="G90" s="31">
        <v>74561927</v>
      </c>
      <c r="H90" s="31" t="s">
        <v>79</v>
      </c>
      <c r="I90" s="31">
        <v>30</v>
      </c>
      <c r="J90" s="31" t="s">
        <v>50</v>
      </c>
      <c r="K90" s="31" t="s">
        <v>70</v>
      </c>
      <c r="L90" s="31" t="s">
        <v>76</v>
      </c>
      <c r="M90" s="31" t="s">
        <v>54</v>
      </c>
      <c r="N90" s="31" t="s">
        <v>80</v>
      </c>
      <c r="O90" s="31" t="s">
        <v>56</v>
      </c>
      <c r="P90" s="31" t="s">
        <v>50</v>
      </c>
      <c r="Q90" s="31">
        <v>30520</v>
      </c>
      <c r="R90" s="31" t="s">
        <v>57</v>
      </c>
      <c r="S90" s="31" t="s">
        <v>65</v>
      </c>
      <c r="T90" s="31" t="s">
        <v>66</v>
      </c>
      <c r="U90" s="31" t="s">
        <v>58</v>
      </c>
      <c r="V90" s="30">
        <v>46036</v>
      </c>
      <c r="W90" s="34">
        <v>0.35416666666666669</v>
      </c>
      <c r="X90" s="34">
        <v>0.45833333333333331</v>
      </c>
      <c r="Y90" s="31"/>
    </row>
    <row r="91" spans="1:25" ht="12.75" x14ac:dyDescent="0.2">
      <c r="A91" s="30">
        <v>46036</v>
      </c>
      <c r="B91" s="31" t="s">
        <v>69</v>
      </c>
      <c r="C91" s="31">
        <v>1</v>
      </c>
      <c r="D91" s="31" t="s">
        <v>60</v>
      </c>
      <c r="E91" s="31" t="s">
        <v>108</v>
      </c>
      <c r="F91" s="31">
        <v>25542321</v>
      </c>
      <c r="G91" s="31">
        <v>70257525</v>
      </c>
      <c r="H91" s="31" t="s">
        <v>52</v>
      </c>
      <c r="I91" s="31">
        <v>38</v>
      </c>
      <c r="J91" s="31" t="s">
        <v>63</v>
      </c>
      <c r="K91" s="31" t="s">
        <v>53</v>
      </c>
      <c r="L91" s="31" t="s">
        <v>76</v>
      </c>
      <c r="M91" s="31" t="s">
        <v>54</v>
      </c>
      <c r="N91" s="31" t="s">
        <v>109</v>
      </c>
      <c r="O91" s="31" t="s">
        <v>56</v>
      </c>
      <c r="P91" s="31" t="s">
        <v>81</v>
      </c>
      <c r="Q91" s="31">
        <v>47562</v>
      </c>
      <c r="R91" s="31" t="s">
        <v>57</v>
      </c>
      <c r="S91" s="31" t="s">
        <v>65</v>
      </c>
      <c r="T91" s="31" t="s">
        <v>58</v>
      </c>
      <c r="U91" s="31" t="s">
        <v>58</v>
      </c>
      <c r="V91" s="30">
        <v>46036</v>
      </c>
      <c r="W91" s="34">
        <v>0.46527777777777779</v>
      </c>
      <c r="X91" s="34">
        <v>0.53125</v>
      </c>
      <c r="Y91" s="31"/>
    </row>
    <row r="92" spans="1:25" ht="12.75" x14ac:dyDescent="0.2">
      <c r="A92" s="30">
        <v>46036</v>
      </c>
      <c r="B92" s="31" t="s">
        <v>59</v>
      </c>
      <c r="C92" s="31">
        <v>1</v>
      </c>
      <c r="D92" s="31" t="s">
        <v>50</v>
      </c>
      <c r="E92" s="31" t="s">
        <v>105</v>
      </c>
      <c r="F92" s="48">
        <v>18174396</v>
      </c>
      <c r="G92" s="31">
        <v>43430833</v>
      </c>
      <c r="H92" s="31" t="s">
        <v>115</v>
      </c>
      <c r="I92" s="31">
        <v>67</v>
      </c>
      <c r="J92" s="31" t="s">
        <v>50</v>
      </c>
      <c r="K92" s="31" t="s">
        <v>103</v>
      </c>
      <c r="L92" s="31" t="s">
        <v>54</v>
      </c>
      <c r="M92" s="31" t="s">
        <v>54</v>
      </c>
      <c r="N92" s="31" t="s">
        <v>107</v>
      </c>
      <c r="O92" s="31" t="s">
        <v>56</v>
      </c>
      <c r="P92" s="31" t="s">
        <v>50</v>
      </c>
      <c r="Q92" s="31">
        <v>37220</v>
      </c>
      <c r="R92" s="31" t="s">
        <v>57</v>
      </c>
      <c r="S92" s="31" t="s">
        <v>65</v>
      </c>
      <c r="T92" s="31" t="s">
        <v>66</v>
      </c>
      <c r="U92" s="31" t="s">
        <v>58</v>
      </c>
      <c r="V92" s="30">
        <v>46036</v>
      </c>
      <c r="W92" s="34">
        <v>0.375</v>
      </c>
      <c r="X92" s="34">
        <v>0.4375</v>
      </c>
      <c r="Y92" s="31"/>
    </row>
    <row r="93" spans="1:25" ht="12.75" x14ac:dyDescent="0.2">
      <c r="A93" s="31">
        <v>141</v>
      </c>
      <c r="B93" s="31" t="s">
        <v>67</v>
      </c>
      <c r="C93" s="31">
        <v>1</v>
      </c>
      <c r="D93" s="31" t="s">
        <v>50</v>
      </c>
      <c r="E93" s="31" t="s">
        <v>105</v>
      </c>
      <c r="F93" s="48">
        <v>18174396</v>
      </c>
      <c r="G93" s="31">
        <v>6831577</v>
      </c>
      <c r="H93" s="31" t="s">
        <v>115</v>
      </c>
      <c r="I93" s="31">
        <v>65</v>
      </c>
      <c r="J93" s="31" t="s">
        <v>63</v>
      </c>
      <c r="K93" s="31" t="s">
        <v>63</v>
      </c>
      <c r="L93" s="31" t="s">
        <v>54</v>
      </c>
      <c r="M93" s="31" t="s">
        <v>54</v>
      </c>
      <c r="N93" s="31" t="s">
        <v>107</v>
      </c>
      <c r="O93" s="31" t="s">
        <v>56</v>
      </c>
      <c r="P93" s="31" t="s">
        <v>50</v>
      </c>
      <c r="Q93" s="31">
        <v>37224</v>
      </c>
      <c r="R93" s="31" t="s">
        <v>57</v>
      </c>
      <c r="S93" s="31" t="s">
        <v>181</v>
      </c>
      <c r="T93" s="31" t="s">
        <v>66</v>
      </c>
      <c r="U93" s="31" t="s">
        <v>58</v>
      </c>
      <c r="V93" s="31">
        <v>141</v>
      </c>
      <c r="W93" s="34">
        <v>0.45833333333333331</v>
      </c>
      <c r="X93" s="34">
        <v>0.55208333333333337</v>
      </c>
      <c r="Y93" s="31"/>
    </row>
    <row r="94" spans="1:25" ht="12.75" x14ac:dyDescent="0.2">
      <c r="A94" s="30">
        <v>46036</v>
      </c>
      <c r="B94" s="31" t="s">
        <v>59</v>
      </c>
      <c r="C94" s="31">
        <v>1</v>
      </c>
      <c r="D94" s="31" t="s">
        <v>50</v>
      </c>
      <c r="E94" s="31" t="s">
        <v>98</v>
      </c>
      <c r="F94" s="31">
        <v>44897100</v>
      </c>
      <c r="G94" s="31">
        <v>63740768</v>
      </c>
      <c r="H94" s="31" t="s">
        <v>73</v>
      </c>
      <c r="I94" s="31">
        <v>20</v>
      </c>
      <c r="J94" s="31" t="s">
        <v>50</v>
      </c>
      <c r="K94" s="31" t="s">
        <v>58</v>
      </c>
      <c r="L94" s="31" t="s">
        <v>54</v>
      </c>
      <c r="M94" s="31" t="s">
        <v>54</v>
      </c>
      <c r="N94" s="31" t="s">
        <v>182</v>
      </c>
      <c r="O94" s="31" t="s">
        <v>56</v>
      </c>
      <c r="P94" s="31" t="s">
        <v>50</v>
      </c>
      <c r="Q94" s="31">
        <v>25519</v>
      </c>
      <c r="R94" s="31" t="s">
        <v>57</v>
      </c>
      <c r="S94" s="31" t="s">
        <v>65</v>
      </c>
      <c r="T94" s="31" t="s">
        <v>58</v>
      </c>
      <c r="U94" s="31" t="s">
        <v>58</v>
      </c>
      <c r="V94" s="30">
        <v>46036</v>
      </c>
      <c r="W94" s="34">
        <v>0.35416666666666669</v>
      </c>
      <c r="X94" s="31" t="s">
        <v>183</v>
      </c>
      <c r="Y94" s="31"/>
    </row>
    <row r="95" spans="1:25" ht="12.75" x14ac:dyDescent="0.2">
      <c r="A95" s="30">
        <v>46035</v>
      </c>
      <c r="B95" s="31" t="s">
        <v>127</v>
      </c>
      <c r="C95" s="31">
        <v>1</v>
      </c>
      <c r="D95" s="31" t="s">
        <v>50</v>
      </c>
      <c r="E95" s="31" t="s">
        <v>184</v>
      </c>
      <c r="F95" s="52">
        <v>21866455</v>
      </c>
      <c r="G95" s="31">
        <v>74904738</v>
      </c>
      <c r="H95" s="31" t="s">
        <v>185</v>
      </c>
      <c r="I95" s="31">
        <v>24</v>
      </c>
      <c r="J95" s="31" t="s">
        <v>50</v>
      </c>
      <c r="K95" s="31" t="s">
        <v>63</v>
      </c>
      <c r="L95" s="31" t="s">
        <v>54</v>
      </c>
      <c r="M95" s="31" t="s">
        <v>54</v>
      </c>
      <c r="N95" s="31" t="s">
        <v>186</v>
      </c>
      <c r="O95" s="31" t="s">
        <v>56</v>
      </c>
      <c r="P95" s="31" t="s">
        <v>50</v>
      </c>
      <c r="Q95" s="31">
        <v>47000</v>
      </c>
      <c r="R95" s="31" t="s">
        <v>57</v>
      </c>
      <c r="S95" s="31" t="s">
        <v>57</v>
      </c>
      <c r="T95" s="31" t="s">
        <v>58</v>
      </c>
      <c r="U95" s="31" t="s">
        <v>58</v>
      </c>
      <c r="V95" s="30">
        <v>46035</v>
      </c>
      <c r="W95" s="34">
        <v>0.98611111111111116</v>
      </c>
      <c r="X95" s="34">
        <v>2.0833333333333332E-2</v>
      </c>
      <c r="Y95" s="31"/>
    </row>
    <row r="96" spans="1:25" ht="12.75" x14ac:dyDescent="0.2">
      <c r="A96" s="30">
        <v>46037</v>
      </c>
      <c r="B96" s="31" t="s">
        <v>50</v>
      </c>
      <c r="C96" s="31">
        <v>1</v>
      </c>
      <c r="D96" s="31" t="s">
        <v>60</v>
      </c>
      <c r="E96" s="31" t="s">
        <v>61</v>
      </c>
      <c r="F96" s="48">
        <v>21523144</v>
      </c>
      <c r="G96" s="31">
        <v>61807519</v>
      </c>
      <c r="H96" s="31" t="s">
        <v>62</v>
      </c>
      <c r="I96" s="31">
        <v>18</v>
      </c>
      <c r="J96" s="31" t="s">
        <v>50</v>
      </c>
      <c r="K96" s="31" t="s">
        <v>63</v>
      </c>
      <c r="L96" s="31" t="s">
        <v>54</v>
      </c>
      <c r="M96" s="31" t="s">
        <v>54</v>
      </c>
      <c r="N96" s="31" t="s">
        <v>64</v>
      </c>
      <c r="O96" s="31" t="s">
        <v>56</v>
      </c>
      <c r="P96" s="31" t="s">
        <v>50</v>
      </c>
      <c r="Q96" s="31">
        <v>90874</v>
      </c>
      <c r="R96" s="31" t="s">
        <v>57</v>
      </c>
      <c r="S96" s="31" t="s">
        <v>65</v>
      </c>
      <c r="T96" s="31" t="s">
        <v>58</v>
      </c>
      <c r="U96" s="31" t="s">
        <v>58</v>
      </c>
      <c r="V96" s="30">
        <v>46037</v>
      </c>
      <c r="W96" s="34">
        <v>0.33333333333333331</v>
      </c>
      <c r="X96" s="34">
        <v>0.34375</v>
      </c>
      <c r="Y96" s="31"/>
    </row>
    <row r="97" spans="1:25" ht="12.75" x14ac:dyDescent="0.2">
      <c r="A97" s="30">
        <v>46037</v>
      </c>
      <c r="B97" s="31" t="s">
        <v>59</v>
      </c>
      <c r="C97" s="31">
        <v>1</v>
      </c>
      <c r="D97" s="31" t="s">
        <v>60</v>
      </c>
      <c r="E97" s="31" t="s">
        <v>187</v>
      </c>
      <c r="F97" s="48">
        <v>6289238</v>
      </c>
      <c r="G97" s="31">
        <v>43819124</v>
      </c>
      <c r="H97" s="31" t="s">
        <v>188</v>
      </c>
      <c r="I97" s="31">
        <v>55</v>
      </c>
      <c r="J97" s="31" t="s">
        <v>50</v>
      </c>
      <c r="K97" s="31" t="s">
        <v>53</v>
      </c>
      <c r="L97" s="31" t="s">
        <v>54</v>
      </c>
      <c r="M97" s="31" t="s">
        <v>54</v>
      </c>
      <c r="N97" s="31" t="s">
        <v>189</v>
      </c>
      <c r="O97" s="31" t="s">
        <v>56</v>
      </c>
      <c r="P97" s="31" t="s">
        <v>81</v>
      </c>
      <c r="Q97" s="31">
        <v>11400</v>
      </c>
      <c r="R97" s="31" t="s">
        <v>57</v>
      </c>
      <c r="S97" s="31" t="s">
        <v>65</v>
      </c>
      <c r="T97" s="31" t="s">
        <v>66</v>
      </c>
      <c r="U97" s="31" t="s">
        <v>58</v>
      </c>
      <c r="V97" s="30">
        <v>46037</v>
      </c>
      <c r="W97" s="34">
        <v>0.34375</v>
      </c>
      <c r="X97" s="34">
        <v>0.375</v>
      </c>
      <c r="Y97" s="31"/>
    </row>
    <row r="98" spans="1:25" ht="12.75" x14ac:dyDescent="0.2">
      <c r="A98" s="30">
        <v>46037</v>
      </c>
      <c r="B98" s="31" t="s">
        <v>59</v>
      </c>
      <c r="C98" s="31">
        <v>1</v>
      </c>
      <c r="D98" s="31" t="s">
        <v>50</v>
      </c>
      <c r="E98" s="31" t="s">
        <v>117</v>
      </c>
      <c r="F98" s="48">
        <v>42948211</v>
      </c>
      <c r="G98" s="31">
        <v>43735135</v>
      </c>
      <c r="H98" s="31" t="s">
        <v>88</v>
      </c>
      <c r="I98" s="31">
        <v>73</v>
      </c>
      <c r="J98" s="31" t="s">
        <v>50</v>
      </c>
      <c r="K98" s="31" t="s">
        <v>53</v>
      </c>
      <c r="L98" s="31" t="s">
        <v>58</v>
      </c>
      <c r="M98" s="31" t="s">
        <v>54</v>
      </c>
      <c r="N98" s="31" t="s">
        <v>118</v>
      </c>
      <c r="O98" s="31" t="s">
        <v>56</v>
      </c>
      <c r="P98" s="31" t="s">
        <v>50</v>
      </c>
      <c r="Q98" s="31">
        <v>64493</v>
      </c>
      <c r="R98" s="31" t="s">
        <v>57</v>
      </c>
      <c r="S98" s="31" t="s">
        <v>65</v>
      </c>
      <c r="T98" s="31" t="s">
        <v>66</v>
      </c>
      <c r="U98" s="31" t="s">
        <v>58</v>
      </c>
      <c r="V98" s="30">
        <v>46037</v>
      </c>
      <c r="W98" s="34">
        <v>0.34722222222222221</v>
      </c>
      <c r="X98" s="34">
        <v>0.41666666666666669</v>
      </c>
      <c r="Y98" s="31"/>
    </row>
    <row r="99" spans="1:25" ht="12.75" x14ac:dyDescent="0.2">
      <c r="A99" s="30">
        <v>46037</v>
      </c>
      <c r="B99" s="31" t="s">
        <v>59</v>
      </c>
      <c r="C99" s="31">
        <v>1</v>
      </c>
      <c r="D99" s="31" t="s">
        <v>50</v>
      </c>
      <c r="E99" s="31" t="s">
        <v>190</v>
      </c>
      <c r="F99" s="48">
        <v>42111744</v>
      </c>
      <c r="G99" s="31">
        <v>8994881</v>
      </c>
      <c r="H99" s="31" t="s">
        <v>83</v>
      </c>
      <c r="I99" s="31">
        <v>70</v>
      </c>
      <c r="J99" s="31" t="s">
        <v>50</v>
      </c>
      <c r="K99" s="31" t="s">
        <v>103</v>
      </c>
      <c r="L99" s="31" t="s">
        <v>58</v>
      </c>
      <c r="M99" s="31" t="s">
        <v>54</v>
      </c>
      <c r="N99" s="31" t="s">
        <v>84</v>
      </c>
      <c r="O99" s="31" t="s">
        <v>56</v>
      </c>
      <c r="P99" s="31" t="s">
        <v>81</v>
      </c>
      <c r="Q99" s="31">
        <v>52601</v>
      </c>
      <c r="R99" s="31" t="s">
        <v>57</v>
      </c>
      <c r="S99" s="31" t="s">
        <v>65</v>
      </c>
      <c r="T99" s="31" t="s">
        <v>58</v>
      </c>
      <c r="U99" s="31" t="s">
        <v>58</v>
      </c>
      <c r="V99" s="30">
        <v>46037</v>
      </c>
      <c r="W99" s="34">
        <v>0.38194444444444442</v>
      </c>
      <c r="X99" s="34">
        <v>0.52777777777777779</v>
      </c>
      <c r="Y99" s="31"/>
    </row>
    <row r="100" spans="1:25" ht="12.75" x14ac:dyDescent="0.2">
      <c r="A100" s="30">
        <v>46037</v>
      </c>
      <c r="B100" s="31" t="s">
        <v>59</v>
      </c>
      <c r="C100" s="31">
        <v>1</v>
      </c>
      <c r="D100" s="31" t="s">
        <v>50</v>
      </c>
      <c r="E100" s="31" t="s">
        <v>191</v>
      </c>
      <c r="F100" s="48">
        <v>46691567</v>
      </c>
      <c r="G100" s="31" t="s">
        <v>192</v>
      </c>
      <c r="H100" s="31" t="s">
        <v>125</v>
      </c>
      <c r="I100" s="31">
        <v>81</v>
      </c>
      <c r="J100" s="31" t="s">
        <v>50</v>
      </c>
      <c r="K100" s="31" t="s">
        <v>53</v>
      </c>
      <c r="L100" s="31" t="s">
        <v>54</v>
      </c>
      <c r="M100" s="31" t="s">
        <v>54</v>
      </c>
      <c r="N100" s="31" t="s">
        <v>126</v>
      </c>
      <c r="O100" s="31" t="s">
        <v>56</v>
      </c>
      <c r="P100" s="31" t="s">
        <v>81</v>
      </c>
      <c r="Q100" s="31">
        <v>66982</v>
      </c>
      <c r="R100" s="31" t="s">
        <v>57</v>
      </c>
      <c r="S100" s="31" t="s">
        <v>65</v>
      </c>
      <c r="T100" s="31" t="s">
        <v>66</v>
      </c>
      <c r="U100" s="31" t="s">
        <v>58</v>
      </c>
      <c r="V100" s="30">
        <v>46037</v>
      </c>
      <c r="W100" s="34">
        <v>0.33333333333333331</v>
      </c>
      <c r="X100" s="34">
        <v>0.375</v>
      </c>
      <c r="Y100" s="31"/>
    </row>
    <row r="101" spans="1:25" ht="12.75" x14ac:dyDescent="0.2">
      <c r="A101" s="30">
        <v>46036</v>
      </c>
      <c r="B101" s="31" t="s">
        <v>49</v>
      </c>
      <c r="C101" s="31">
        <v>1</v>
      </c>
      <c r="D101" s="31" t="s">
        <v>60</v>
      </c>
      <c r="E101" s="31" t="s">
        <v>193</v>
      </c>
      <c r="F101" s="48">
        <v>18086988</v>
      </c>
      <c r="G101" s="31">
        <v>47266104</v>
      </c>
      <c r="H101" s="31" t="s">
        <v>147</v>
      </c>
      <c r="I101" s="31">
        <v>34</v>
      </c>
      <c r="J101" s="31" t="s">
        <v>63</v>
      </c>
      <c r="K101" s="31" t="s">
        <v>63</v>
      </c>
      <c r="L101" s="31" t="s">
        <v>54</v>
      </c>
      <c r="M101" s="31" t="s">
        <v>54</v>
      </c>
      <c r="N101" s="31" t="s">
        <v>194</v>
      </c>
      <c r="O101" s="31" t="s">
        <v>56</v>
      </c>
      <c r="P101" s="31" t="s">
        <v>50</v>
      </c>
      <c r="Q101" s="31">
        <v>59310</v>
      </c>
      <c r="R101" s="31" t="s">
        <v>57</v>
      </c>
      <c r="S101" s="31" t="s">
        <v>57</v>
      </c>
      <c r="T101" s="31" t="s">
        <v>58</v>
      </c>
      <c r="U101" s="31" t="s">
        <v>58</v>
      </c>
      <c r="V101" s="30">
        <v>46036</v>
      </c>
      <c r="W101" s="34">
        <v>0.52777777777777779</v>
      </c>
      <c r="X101" s="34">
        <v>0.61458333333333337</v>
      </c>
      <c r="Y101" s="31"/>
    </row>
    <row r="102" spans="1:25" ht="12.75" x14ac:dyDescent="0.2">
      <c r="A102" s="30">
        <v>46036</v>
      </c>
      <c r="B102" s="31" t="s">
        <v>127</v>
      </c>
      <c r="C102" s="31">
        <v>1</v>
      </c>
      <c r="D102" s="31" t="s">
        <v>60</v>
      </c>
      <c r="E102" s="31" t="s">
        <v>195</v>
      </c>
      <c r="F102" s="31">
        <v>32951664</v>
      </c>
      <c r="G102" s="31">
        <v>8348474</v>
      </c>
      <c r="H102" s="31" t="s">
        <v>52</v>
      </c>
      <c r="I102" s="31">
        <v>75</v>
      </c>
      <c r="J102" s="31" t="s">
        <v>50</v>
      </c>
      <c r="K102" s="31" t="s">
        <v>103</v>
      </c>
      <c r="L102" s="31" t="s">
        <v>54</v>
      </c>
      <c r="M102" s="31" t="s">
        <v>54</v>
      </c>
      <c r="N102" s="31" t="s">
        <v>165</v>
      </c>
      <c r="O102" s="31" t="s">
        <v>56</v>
      </c>
      <c r="P102" s="31" t="s">
        <v>81</v>
      </c>
      <c r="Q102" s="31">
        <v>479000</v>
      </c>
      <c r="R102" s="31" t="s">
        <v>57</v>
      </c>
      <c r="S102" s="31" t="s">
        <v>57</v>
      </c>
      <c r="T102" s="31" t="s">
        <v>58</v>
      </c>
      <c r="U102" s="31" t="s">
        <v>58</v>
      </c>
      <c r="V102" s="30">
        <v>46036</v>
      </c>
      <c r="W102" s="34">
        <v>0.44444444444444442</v>
      </c>
      <c r="X102" s="34">
        <v>0.51388888888888884</v>
      </c>
      <c r="Y102" s="31"/>
    </row>
    <row r="103" spans="1:25" ht="12.75" x14ac:dyDescent="0.2">
      <c r="A103" s="30">
        <v>46037</v>
      </c>
      <c r="B103" s="31" t="s">
        <v>127</v>
      </c>
      <c r="C103" s="31">
        <v>1</v>
      </c>
      <c r="D103" s="31" t="s">
        <v>60</v>
      </c>
      <c r="E103" s="31" t="s">
        <v>195</v>
      </c>
      <c r="F103" s="48">
        <v>32951664</v>
      </c>
      <c r="G103" s="48">
        <v>23918919</v>
      </c>
      <c r="H103" s="31" t="s">
        <v>52</v>
      </c>
      <c r="I103" s="31">
        <v>71</v>
      </c>
      <c r="J103" s="31" t="s">
        <v>63</v>
      </c>
      <c r="K103" s="31" t="s">
        <v>63</v>
      </c>
      <c r="L103" s="31" t="s">
        <v>54</v>
      </c>
      <c r="M103" s="31" t="s">
        <v>54</v>
      </c>
      <c r="N103" s="31" t="s">
        <v>154</v>
      </c>
      <c r="O103" s="31" t="s">
        <v>56</v>
      </c>
      <c r="P103" s="31" t="s">
        <v>81</v>
      </c>
      <c r="Q103" s="31">
        <v>47562</v>
      </c>
      <c r="R103" s="31" t="s">
        <v>57</v>
      </c>
      <c r="S103" s="31" t="s">
        <v>57</v>
      </c>
      <c r="T103" s="31" t="s">
        <v>58</v>
      </c>
      <c r="U103" s="31" t="s">
        <v>58</v>
      </c>
      <c r="V103" s="30">
        <v>46037</v>
      </c>
      <c r="W103" s="34">
        <v>0.53472222222222221</v>
      </c>
      <c r="X103" s="34">
        <v>0.11805555555555555</v>
      </c>
      <c r="Y103" s="31"/>
    </row>
    <row r="104" spans="1:25" ht="12.75" x14ac:dyDescent="0.2">
      <c r="A104" s="30">
        <v>46037</v>
      </c>
      <c r="B104" s="31" t="s">
        <v>50</v>
      </c>
      <c r="C104" s="31">
        <v>1</v>
      </c>
      <c r="D104" s="31" t="s">
        <v>50</v>
      </c>
      <c r="E104" s="31" t="s">
        <v>105</v>
      </c>
      <c r="F104" s="48">
        <v>18174396</v>
      </c>
      <c r="G104" s="31">
        <v>75406674</v>
      </c>
      <c r="H104" s="31" t="s">
        <v>106</v>
      </c>
      <c r="I104" s="31">
        <v>26</v>
      </c>
      <c r="J104" s="31" t="s">
        <v>63</v>
      </c>
      <c r="K104" s="31" t="s">
        <v>70</v>
      </c>
      <c r="L104" s="31" t="s">
        <v>76</v>
      </c>
      <c r="M104" s="31" t="s">
        <v>54</v>
      </c>
      <c r="N104" s="31" t="s">
        <v>196</v>
      </c>
      <c r="O104" s="31" t="s">
        <v>56</v>
      </c>
      <c r="P104" s="31" t="s">
        <v>81</v>
      </c>
      <c r="Q104" s="31">
        <v>36561</v>
      </c>
      <c r="R104" s="31" t="s">
        <v>57</v>
      </c>
      <c r="S104" s="31" t="s">
        <v>65</v>
      </c>
      <c r="T104" s="31" t="s">
        <v>66</v>
      </c>
      <c r="U104" s="31" t="s">
        <v>58</v>
      </c>
      <c r="V104" s="30">
        <v>46037</v>
      </c>
      <c r="W104" s="34">
        <v>0.45833333333333331</v>
      </c>
      <c r="X104" s="31" t="s">
        <v>197</v>
      </c>
      <c r="Y104" s="31"/>
    </row>
    <row r="105" spans="1:25" ht="12.75" x14ac:dyDescent="0.2">
      <c r="A105" s="30">
        <v>46037</v>
      </c>
      <c r="B105" s="31" t="s">
        <v>49</v>
      </c>
      <c r="C105" s="31">
        <v>1</v>
      </c>
      <c r="D105" s="31" t="s">
        <v>50</v>
      </c>
      <c r="E105" s="31" t="s">
        <v>145</v>
      </c>
      <c r="F105" s="31">
        <v>45644205</v>
      </c>
      <c r="G105" s="31">
        <v>400375600</v>
      </c>
      <c r="H105" s="31" t="s">
        <v>171</v>
      </c>
      <c r="I105" s="31">
        <v>40</v>
      </c>
      <c r="J105" s="31" t="s">
        <v>198</v>
      </c>
      <c r="K105" s="31" t="s">
        <v>53</v>
      </c>
      <c r="L105" s="31" t="s">
        <v>76</v>
      </c>
      <c r="M105" s="31" t="s">
        <v>54</v>
      </c>
      <c r="N105" s="31" t="s">
        <v>194</v>
      </c>
      <c r="O105" s="31" t="s">
        <v>56</v>
      </c>
      <c r="P105" s="31" t="s">
        <v>81</v>
      </c>
      <c r="Q105" s="31" t="s">
        <v>199</v>
      </c>
      <c r="R105" s="31" t="s">
        <v>57</v>
      </c>
      <c r="S105" s="31" t="s">
        <v>57</v>
      </c>
      <c r="T105" s="31" t="s">
        <v>58</v>
      </c>
      <c r="U105" s="31" t="s">
        <v>58</v>
      </c>
      <c r="V105" s="30">
        <v>46037</v>
      </c>
      <c r="W105" s="34">
        <v>0.75</v>
      </c>
      <c r="X105" s="34">
        <v>0.86458333333333337</v>
      </c>
      <c r="Y105" s="31"/>
    </row>
    <row r="106" spans="1:25" ht="12.75" x14ac:dyDescent="0.2">
      <c r="A106" s="30">
        <v>46038</v>
      </c>
      <c r="B106" s="31" t="s">
        <v>50</v>
      </c>
      <c r="C106" s="31">
        <v>1</v>
      </c>
      <c r="D106" s="31" t="s">
        <v>60</v>
      </c>
      <c r="E106" s="31" t="s">
        <v>61</v>
      </c>
      <c r="F106" s="48">
        <v>21523144</v>
      </c>
      <c r="G106" s="31">
        <v>61807519</v>
      </c>
      <c r="H106" s="31" t="s">
        <v>62</v>
      </c>
      <c r="I106" s="31">
        <v>18</v>
      </c>
      <c r="J106" s="31" t="s">
        <v>50</v>
      </c>
      <c r="K106" s="31" t="s">
        <v>63</v>
      </c>
      <c r="L106" s="31" t="s">
        <v>54</v>
      </c>
      <c r="M106" s="31" t="s">
        <v>54</v>
      </c>
      <c r="N106" s="31" t="s">
        <v>64</v>
      </c>
      <c r="O106" s="31" t="s">
        <v>56</v>
      </c>
      <c r="P106" s="31" t="s">
        <v>50</v>
      </c>
      <c r="Q106" s="31">
        <v>90874</v>
      </c>
      <c r="R106" s="31" t="s">
        <v>57</v>
      </c>
      <c r="S106" s="31" t="s">
        <v>65</v>
      </c>
      <c r="T106" s="31" t="s">
        <v>66</v>
      </c>
      <c r="U106" s="31" t="s">
        <v>58</v>
      </c>
      <c r="V106" s="30">
        <v>46038</v>
      </c>
      <c r="W106" s="34">
        <v>0.33333333333333331</v>
      </c>
      <c r="X106" s="34">
        <v>0.35416666666666669</v>
      </c>
      <c r="Y106" s="31"/>
    </row>
    <row r="107" spans="1:25" ht="12.75" x14ac:dyDescent="0.2">
      <c r="A107" s="30">
        <v>46038</v>
      </c>
      <c r="B107" s="31" t="s">
        <v>50</v>
      </c>
      <c r="C107" s="31">
        <v>1</v>
      </c>
      <c r="D107" s="31" t="s">
        <v>60</v>
      </c>
      <c r="E107" s="31" t="s">
        <v>61</v>
      </c>
      <c r="F107" s="48">
        <v>21523144</v>
      </c>
      <c r="G107" s="31">
        <v>9145142</v>
      </c>
      <c r="H107" s="31" t="s">
        <v>62</v>
      </c>
      <c r="I107" s="31">
        <v>59</v>
      </c>
      <c r="J107" s="31" t="s">
        <v>63</v>
      </c>
      <c r="K107" s="31" t="s">
        <v>63</v>
      </c>
      <c r="L107" s="31" t="s">
        <v>54</v>
      </c>
      <c r="M107" s="31" t="s">
        <v>54</v>
      </c>
      <c r="N107" s="31" t="s">
        <v>64</v>
      </c>
      <c r="O107" s="31" t="s">
        <v>56</v>
      </c>
      <c r="P107" s="31" t="s">
        <v>50</v>
      </c>
      <c r="Q107" s="31">
        <v>90874</v>
      </c>
      <c r="R107" s="31" t="s">
        <v>57</v>
      </c>
      <c r="S107" s="31" t="s">
        <v>65</v>
      </c>
      <c r="T107" s="31" t="s">
        <v>66</v>
      </c>
      <c r="U107" s="31" t="s">
        <v>58</v>
      </c>
      <c r="V107" s="30">
        <v>46038</v>
      </c>
      <c r="W107" s="34">
        <v>0.375</v>
      </c>
      <c r="X107" s="34">
        <v>0.39583333333333331</v>
      </c>
      <c r="Y107" s="31"/>
    </row>
    <row r="108" spans="1:25" ht="12.75" x14ac:dyDescent="0.2">
      <c r="A108" s="30">
        <v>46038</v>
      </c>
      <c r="B108" s="31" t="s">
        <v>50</v>
      </c>
      <c r="C108" s="31">
        <v>1</v>
      </c>
      <c r="D108" s="31" t="s">
        <v>50</v>
      </c>
      <c r="E108" s="31" t="s">
        <v>176</v>
      </c>
      <c r="F108" s="48">
        <v>21523144</v>
      </c>
      <c r="G108" s="31">
        <v>8804056</v>
      </c>
      <c r="H108" s="31" t="s">
        <v>177</v>
      </c>
      <c r="I108" s="31">
        <v>66</v>
      </c>
      <c r="J108" s="31" t="s">
        <v>50</v>
      </c>
      <c r="K108" s="31" t="s">
        <v>58</v>
      </c>
      <c r="L108" s="31" t="s">
        <v>54</v>
      </c>
      <c r="M108" s="31" t="s">
        <v>57</v>
      </c>
      <c r="N108" s="31" t="s">
        <v>64</v>
      </c>
      <c r="O108" s="31" t="s">
        <v>56</v>
      </c>
      <c r="P108" s="31" t="s">
        <v>50</v>
      </c>
      <c r="Q108" s="31">
        <v>90874</v>
      </c>
      <c r="R108" s="31"/>
      <c r="S108" s="31" t="s">
        <v>65</v>
      </c>
      <c r="T108" s="31"/>
      <c r="U108" s="31" t="s">
        <v>70</v>
      </c>
      <c r="V108" s="30">
        <v>46038</v>
      </c>
      <c r="W108" s="34"/>
      <c r="X108" s="34"/>
      <c r="Y108" s="31"/>
    </row>
    <row r="109" spans="1:25" ht="12.75" x14ac:dyDescent="0.2">
      <c r="A109" s="30">
        <v>46038</v>
      </c>
      <c r="B109" s="31" t="s">
        <v>50</v>
      </c>
      <c r="C109" s="31">
        <v>1</v>
      </c>
      <c r="D109" s="31" t="s">
        <v>60</v>
      </c>
      <c r="E109" s="31" t="s">
        <v>200</v>
      </c>
      <c r="F109" s="48">
        <v>71094795</v>
      </c>
      <c r="G109" s="31" t="s">
        <v>201</v>
      </c>
      <c r="H109" s="31" t="s">
        <v>125</v>
      </c>
      <c r="I109" s="31">
        <v>65</v>
      </c>
      <c r="J109" s="31" t="s">
        <v>63</v>
      </c>
      <c r="K109" s="31" t="s">
        <v>63</v>
      </c>
      <c r="L109" s="31" t="s">
        <v>54</v>
      </c>
      <c r="M109" s="31" t="s">
        <v>54</v>
      </c>
      <c r="N109" s="31" t="s">
        <v>126</v>
      </c>
      <c r="O109" s="31" t="s">
        <v>56</v>
      </c>
      <c r="P109" s="31" t="s">
        <v>50</v>
      </c>
      <c r="Q109" s="31">
        <v>66982</v>
      </c>
      <c r="R109" s="31" t="s">
        <v>57</v>
      </c>
      <c r="S109" s="31" t="s">
        <v>65</v>
      </c>
      <c r="T109" s="31" t="s">
        <v>66</v>
      </c>
      <c r="U109" s="31" t="s">
        <v>58</v>
      </c>
      <c r="V109" s="30">
        <v>46038</v>
      </c>
      <c r="W109" s="34">
        <v>0.35416666666666669</v>
      </c>
      <c r="X109" s="34">
        <v>0.39583333333333331</v>
      </c>
      <c r="Y109" s="31"/>
    </row>
    <row r="110" spans="1:25" ht="12.75" x14ac:dyDescent="0.2">
      <c r="A110" s="30">
        <v>46038</v>
      </c>
      <c r="B110" s="31" t="s">
        <v>50</v>
      </c>
      <c r="C110" s="31">
        <v>1</v>
      </c>
      <c r="D110" s="31" t="s">
        <v>60</v>
      </c>
      <c r="E110" s="31" t="s">
        <v>200</v>
      </c>
      <c r="F110" s="48">
        <v>71094795</v>
      </c>
      <c r="G110" s="31" t="s">
        <v>202</v>
      </c>
      <c r="H110" s="31" t="s">
        <v>125</v>
      </c>
      <c r="I110" s="31">
        <v>67</v>
      </c>
      <c r="J110" s="31" t="s">
        <v>63</v>
      </c>
      <c r="K110" s="31" t="s">
        <v>63</v>
      </c>
      <c r="L110" s="31" t="s">
        <v>54</v>
      </c>
      <c r="M110" s="31" t="s">
        <v>54</v>
      </c>
      <c r="N110" s="31" t="s">
        <v>126</v>
      </c>
      <c r="O110" s="31" t="s">
        <v>56</v>
      </c>
      <c r="P110" s="31" t="s">
        <v>50</v>
      </c>
      <c r="Q110" s="31">
        <v>66982</v>
      </c>
      <c r="R110" s="31" t="s">
        <v>57</v>
      </c>
      <c r="S110" s="31" t="s">
        <v>65</v>
      </c>
      <c r="T110" s="31" t="s">
        <v>66</v>
      </c>
      <c r="U110" s="31" t="s">
        <v>58</v>
      </c>
      <c r="V110" s="30">
        <v>46038</v>
      </c>
      <c r="W110" s="34">
        <v>0.40625</v>
      </c>
      <c r="X110" s="34">
        <v>0.44791666666666669</v>
      </c>
      <c r="Y110" s="31"/>
    </row>
    <row r="111" spans="1:25" ht="12.75" x14ac:dyDescent="0.2">
      <c r="A111" s="30">
        <v>46038</v>
      </c>
      <c r="B111" s="31" t="s">
        <v>59</v>
      </c>
      <c r="C111" s="31">
        <v>1</v>
      </c>
      <c r="D111" s="31" t="s">
        <v>50</v>
      </c>
      <c r="E111" s="31" t="s">
        <v>203</v>
      </c>
      <c r="F111" s="48">
        <v>43403659</v>
      </c>
      <c r="G111" s="31">
        <v>325862900</v>
      </c>
      <c r="H111" s="31" t="s">
        <v>79</v>
      </c>
      <c r="I111" s="31">
        <v>45</v>
      </c>
      <c r="J111" s="31" t="s">
        <v>50</v>
      </c>
      <c r="K111" s="31" t="s">
        <v>103</v>
      </c>
      <c r="L111" s="31" t="s">
        <v>76</v>
      </c>
      <c r="M111" s="31" t="s">
        <v>54</v>
      </c>
      <c r="N111" s="31" t="s">
        <v>80</v>
      </c>
      <c r="O111" s="31" t="s">
        <v>56</v>
      </c>
      <c r="P111" s="31" t="s">
        <v>50</v>
      </c>
      <c r="Q111" s="31">
        <v>31545</v>
      </c>
      <c r="R111" s="31" t="s">
        <v>57</v>
      </c>
      <c r="S111" s="31" t="s">
        <v>65</v>
      </c>
      <c r="T111" s="31" t="s">
        <v>66</v>
      </c>
      <c r="U111" s="31" t="s">
        <v>58</v>
      </c>
      <c r="V111" s="30">
        <v>46038</v>
      </c>
      <c r="W111" s="34">
        <v>0.33333333333333331</v>
      </c>
      <c r="X111" s="34">
        <v>0.41666666666666669</v>
      </c>
      <c r="Y111" s="31"/>
    </row>
    <row r="112" spans="1:25" ht="12.75" x14ac:dyDescent="0.2">
      <c r="A112" s="30">
        <v>46038</v>
      </c>
      <c r="B112" s="31" t="s">
        <v>67</v>
      </c>
      <c r="C112" s="31">
        <v>1</v>
      </c>
      <c r="D112" s="31" t="s">
        <v>60</v>
      </c>
      <c r="E112" s="31" t="s">
        <v>204</v>
      </c>
      <c r="F112" s="48">
        <v>43281505</v>
      </c>
      <c r="G112" s="31" t="s">
        <v>205</v>
      </c>
      <c r="H112" s="31" t="s">
        <v>79</v>
      </c>
      <c r="I112" s="31">
        <v>19</v>
      </c>
      <c r="J112" s="31" t="s">
        <v>50</v>
      </c>
      <c r="K112" s="31" t="s">
        <v>58</v>
      </c>
      <c r="L112" s="31" t="s">
        <v>76</v>
      </c>
      <c r="M112" s="31" t="s">
        <v>54</v>
      </c>
      <c r="N112" s="31" t="s">
        <v>206</v>
      </c>
      <c r="O112" s="31" t="s">
        <v>56</v>
      </c>
      <c r="P112" s="31" t="s">
        <v>50</v>
      </c>
      <c r="Q112" s="31">
        <v>30520</v>
      </c>
      <c r="R112" s="31" t="s">
        <v>57</v>
      </c>
      <c r="S112" s="31" t="s">
        <v>65</v>
      </c>
      <c r="T112" s="31" t="s">
        <v>66</v>
      </c>
      <c r="U112" s="31" t="s">
        <v>58</v>
      </c>
      <c r="V112" s="30">
        <v>46038</v>
      </c>
      <c r="W112" s="34">
        <v>0.4375</v>
      </c>
      <c r="X112" s="34">
        <v>0.54166666666666663</v>
      </c>
      <c r="Y112" s="31"/>
    </row>
    <row r="113" spans="1:25" ht="12.75" x14ac:dyDescent="0.2">
      <c r="A113" s="30">
        <v>46038</v>
      </c>
      <c r="B113" s="31" t="s">
        <v>93</v>
      </c>
      <c r="C113" s="31">
        <v>1</v>
      </c>
      <c r="D113" s="31" t="s">
        <v>60</v>
      </c>
      <c r="E113" s="31" t="s">
        <v>159</v>
      </c>
      <c r="F113" s="31">
        <v>22254408</v>
      </c>
      <c r="G113" s="31">
        <v>6173146</v>
      </c>
      <c r="H113" s="31" t="s">
        <v>140</v>
      </c>
      <c r="I113" s="31">
        <v>61</v>
      </c>
      <c r="J113" s="31" t="s">
        <v>50</v>
      </c>
      <c r="K113" s="31" t="s">
        <v>53</v>
      </c>
      <c r="L113" s="31" t="s">
        <v>58</v>
      </c>
      <c r="M113" s="31" t="s">
        <v>54</v>
      </c>
      <c r="N113" s="31" t="s">
        <v>207</v>
      </c>
      <c r="O113" s="31" t="s">
        <v>56</v>
      </c>
      <c r="P113" s="31" t="s">
        <v>81</v>
      </c>
      <c r="Q113" s="31">
        <v>49505</v>
      </c>
      <c r="R113" s="31" t="s">
        <v>57</v>
      </c>
      <c r="S113" s="31" t="s">
        <v>65</v>
      </c>
      <c r="T113" s="31" t="s">
        <v>58</v>
      </c>
      <c r="U113" s="31" t="s">
        <v>58</v>
      </c>
      <c r="V113" s="30">
        <v>46038</v>
      </c>
      <c r="W113" s="34">
        <v>0.34027777777777779</v>
      </c>
      <c r="X113" s="34">
        <v>0.4236111111111111</v>
      </c>
      <c r="Y113" s="31"/>
    </row>
    <row r="114" spans="1:25" ht="12.75" x14ac:dyDescent="0.2">
      <c r="A114" s="30">
        <v>46038</v>
      </c>
      <c r="B114" s="31" t="s">
        <v>97</v>
      </c>
      <c r="C114" s="31">
        <v>1</v>
      </c>
      <c r="D114" s="31" t="s">
        <v>60</v>
      </c>
      <c r="E114" s="31" t="s">
        <v>159</v>
      </c>
      <c r="F114" s="48">
        <v>22254408</v>
      </c>
      <c r="G114" s="31">
        <v>9494726</v>
      </c>
      <c r="H114" s="31" t="s">
        <v>140</v>
      </c>
      <c r="I114" s="31">
        <v>54</v>
      </c>
      <c r="J114" s="31" t="s">
        <v>63</v>
      </c>
      <c r="K114" s="31" t="s">
        <v>63</v>
      </c>
      <c r="L114" s="31" t="s">
        <v>54</v>
      </c>
      <c r="M114" s="31" t="s">
        <v>54</v>
      </c>
      <c r="N114" s="31" t="s">
        <v>208</v>
      </c>
      <c r="O114" s="31" t="s">
        <v>56</v>
      </c>
      <c r="P114" s="31" t="s">
        <v>81</v>
      </c>
      <c r="Q114" s="31">
        <v>4330</v>
      </c>
      <c r="R114" s="31" t="s">
        <v>57</v>
      </c>
      <c r="S114" s="31" t="s">
        <v>65</v>
      </c>
      <c r="T114" s="31" t="s">
        <v>58</v>
      </c>
      <c r="U114" s="31" t="s">
        <v>58</v>
      </c>
      <c r="V114" s="30">
        <v>46038</v>
      </c>
      <c r="W114" s="34">
        <v>0.43055555555555558</v>
      </c>
      <c r="X114" s="34">
        <v>0.49305555555555558</v>
      </c>
      <c r="Y114" s="31"/>
    </row>
    <row r="115" spans="1:25" ht="12.75" x14ac:dyDescent="0.2">
      <c r="A115" s="30">
        <v>46038</v>
      </c>
      <c r="B115" s="31" t="s">
        <v>100</v>
      </c>
      <c r="C115" s="31">
        <v>1</v>
      </c>
      <c r="D115" s="31" t="s">
        <v>50</v>
      </c>
      <c r="E115" s="31" t="s">
        <v>209</v>
      </c>
      <c r="F115" s="48">
        <v>44171651</v>
      </c>
      <c r="G115" s="31">
        <v>60833597</v>
      </c>
      <c r="H115" s="31" t="s">
        <v>140</v>
      </c>
      <c r="I115" s="31">
        <v>16</v>
      </c>
      <c r="J115" s="31" t="s">
        <v>50</v>
      </c>
      <c r="K115" s="31" t="s">
        <v>58</v>
      </c>
      <c r="L115" s="31" t="s">
        <v>76</v>
      </c>
      <c r="M115" s="31" t="s">
        <v>54</v>
      </c>
      <c r="N115" s="31" t="s">
        <v>109</v>
      </c>
      <c r="O115" s="31" t="s">
        <v>56</v>
      </c>
      <c r="P115" s="31" t="s">
        <v>81</v>
      </c>
      <c r="Q115" s="31">
        <v>47562</v>
      </c>
      <c r="R115" s="31" t="s">
        <v>57</v>
      </c>
      <c r="S115" s="31" t="s">
        <v>65</v>
      </c>
      <c r="T115" s="31" t="s">
        <v>58</v>
      </c>
      <c r="U115" s="31" t="s">
        <v>58</v>
      </c>
      <c r="V115" s="30">
        <v>46038</v>
      </c>
      <c r="W115" s="34">
        <v>0.5</v>
      </c>
      <c r="X115" s="34">
        <v>0.61111111111111116</v>
      </c>
      <c r="Y115" s="31"/>
    </row>
    <row r="116" spans="1:25" ht="12.75" x14ac:dyDescent="0.2">
      <c r="A116" s="30">
        <v>46038</v>
      </c>
      <c r="B116" s="31" t="s">
        <v>141</v>
      </c>
      <c r="C116" s="31">
        <v>1</v>
      </c>
      <c r="D116" s="31" t="s">
        <v>60</v>
      </c>
      <c r="E116" s="31" t="s">
        <v>152</v>
      </c>
      <c r="F116" s="31" t="s">
        <v>153</v>
      </c>
      <c r="G116" s="31">
        <v>60110916</v>
      </c>
      <c r="H116" s="31" t="s">
        <v>52</v>
      </c>
      <c r="I116" s="31">
        <v>19</v>
      </c>
      <c r="J116" s="31" t="s">
        <v>50</v>
      </c>
      <c r="K116" s="31" t="s">
        <v>58</v>
      </c>
      <c r="L116" s="31" t="s">
        <v>76</v>
      </c>
      <c r="M116" s="31" t="s">
        <v>54</v>
      </c>
      <c r="N116" s="31" t="s">
        <v>210</v>
      </c>
      <c r="O116" s="31" t="s">
        <v>56</v>
      </c>
      <c r="P116" s="31" t="s">
        <v>81</v>
      </c>
      <c r="Q116" s="31">
        <v>49650</v>
      </c>
      <c r="R116" s="31" t="s">
        <v>57</v>
      </c>
      <c r="S116" s="31" t="s">
        <v>65</v>
      </c>
      <c r="T116" s="31" t="s">
        <v>58</v>
      </c>
      <c r="U116" s="31" t="s">
        <v>58</v>
      </c>
      <c r="V116" s="30">
        <v>46038</v>
      </c>
      <c r="W116" s="34">
        <v>0.625</v>
      </c>
      <c r="X116" s="34">
        <v>0.75</v>
      </c>
      <c r="Y116" s="31"/>
    </row>
    <row r="117" spans="1:25" ht="12.75" x14ac:dyDescent="0.2">
      <c r="A117" s="30">
        <v>46038</v>
      </c>
      <c r="B117" s="31" t="s">
        <v>59</v>
      </c>
      <c r="C117" s="31">
        <v>1</v>
      </c>
      <c r="D117" s="31" t="s">
        <v>60</v>
      </c>
      <c r="E117" s="31" t="s">
        <v>211</v>
      </c>
      <c r="F117" s="48">
        <v>45693874</v>
      </c>
      <c r="G117" s="31">
        <v>9571688</v>
      </c>
      <c r="H117" s="31" t="s">
        <v>73</v>
      </c>
      <c r="I117" s="31">
        <v>58</v>
      </c>
      <c r="J117" s="31" t="s">
        <v>50</v>
      </c>
      <c r="K117" s="31" t="s">
        <v>54</v>
      </c>
      <c r="L117" s="31" t="s">
        <v>54</v>
      </c>
      <c r="M117" s="31" t="s">
        <v>54</v>
      </c>
      <c r="N117" s="31" t="s">
        <v>212</v>
      </c>
      <c r="O117" s="31" t="s">
        <v>56</v>
      </c>
      <c r="P117" s="31" t="s">
        <v>50</v>
      </c>
      <c r="Q117" s="31">
        <v>29806</v>
      </c>
      <c r="R117" s="31" t="s">
        <v>57</v>
      </c>
      <c r="S117" s="31" t="s">
        <v>65</v>
      </c>
      <c r="T117" s="31" t="s">
        <v>58</v>
      </c>
      <c r="U117" s="31" t="s">
        <v>58</v>
      </c>
      <c r="V117" s="30">
        <v>46038</v>
      </c>
      <c r="W117" s="34">
        <v>0.34027777777777779</v>
      </c>
      <c r="X117" s="34">
        <v>0.54166666666666663</v>
      </c>
      <c r="Y117" s="31"/>
    </row>
    <row r="118" spans="1:25" ht="12.75" x14ac:dyDescent="0.2">
      <c r="A118" s="30">
        <v>46038</v>
      </c>
      <c r="B118" s="31" t="s">
        <v>93</v>
      </c>
      <c r="C118" s="31">
        <v>1</v>
      </c>
      <c r="D118" s="31" t="s">
        <v>50</v>
      </c>
      <c r="E118" s="31" t="s">
        <v>213</v>
      </c>
      <c r="F118" s="48">
        <v>43103030</v>
      </c>
      <c r="G118" s="31">
        <v>8670344</v>
      </c>
      <c r="H118" s="31" t="s">
        <v>171</v>
      </c>
      <c r="I118" s="31">
        <v>58</v>
      </c>
      <c r="J118" s="31" t="s">
        <v>63</v>
      </c>
      <c r="K118" s="31" t="s">
        <v>63</v>
      </c>
      <c r="L118" s="31" t="s">
        <v>58</v>
      </c>
      <c r="M118" s="31" t="s">
        <v>54</v>
      </c>
      <c r="N118" s="31" t="s">
        <v>214</v>
      </c>
      <c r="O118" s="31" t="s">
        <v>56</v>
      </c>
      <c r="P118" s="31" t="s">
        <v>50</v>
      </c>
      <c r="Q118" s="31">
        <v>58661</v>
      </c>
      <c r="R118" s="31" t="s">
        <v>57</v>
      </c>
      <c r="S118" s="31" t="s">
        <v>65</v>
      </c>
      <c r="T118" s="31" t="s">
        <v>58</v>
      </c>
      <c r="U118" s="31" t="s">
        <v>58</v>
      </c>
      <c r="V118" s="30">
        <v>46038</v>
      </c>
      <c r="W118" s="34">
        <v>0.35069444444444442</v>
      </c>
      <c r="X118" s="34">
        <v>0.4548611111111111</v>
      </c>
      <c r="Y118" s="31"/>
    </row>
    <row r="119" spans="1:25" ht="12.75" x14ac:dyDescent="0.2">
      <c r="A119" s="30">
        <v>46038</v>
      </c>
      <c r="B119" s="31" t="s">
        <v>97</v>
      </c>
      <c r="C119" s="31">
        <v>1</v>
      </c>
      <c r="D119" s="31" t="s">
        <v>60</v>
      </c>
      <c r="E119" s="31" t="s">
        <v>72</v>
      </c>
      <c r="F119" s="48">
        <v>45693874</v>
      </c>
      <c r="G119" s="31">
        <v>949100</v>
      </c>
      <c r="H119" s="31" t="s">
        <v>73</v>
      </c>
      <c r="I119" s="31">
        <v>69</v>
      </c>
      <c r="J119" s="31" t="s">
        <v>50</v>
      </c>
      <c r="K119" s="31" t="s">
        <v>103</v>
      </c>
      <c r="L119" s="31" t="s">
        <v>54</v>
      </c>
      <c r="M119" s="31" t="s">
        <v>54</v>
      </c>
      <c r="N119" s="31" t="s">
        <v>164</v>
      </c>
      <c r="O119" s="31" t="s">
        <v>56</v>
      </c>
      <c r="P119" s="31" t="s">
        <v>50</v>
      </c>
      <c r="Q119" s="31">
        <v>64718</v>
      </c>
      <c r="R119" s="31" t="s">
        <v>57</v>
      </c>
      <c r="S119" s="31" t="s">
        <v>65</v>
      </c>
      <c r="T119" s="31" t="s">
        <v>58</v>
      </c>
      <c r="U119" s="31" t="s">
        <v>58</v>
      </c>
      <c r="V119" s="30">
        <v>46038</v>
      </c>
      <c r="W119" s="34">
        <v>0.46527777777777779</v>
      </c>
      <c r="X119" s="34">
        <v>0.625</v>
      </c>
      <c r="Y119" s="31"/>
    </row>
    <row r="120" spans="1:25" ht="12.75" x14ac:dyDescent="0.2">
      <c r="A120" s="30">
        <v>46038</v>
      </c>
      <c r="B120" s="31" t="s">
        <v>100</v>
      </c>
      <c r="C120" s="31">
        <v>1</v>
      </c>
      <c r="D120" s="31" t="s">
        <v>60</v>
      </c>
      <c r="E120" s="31" t="s">
        <v>72</v>
      </c>
      <c r="F120" s="48">
        <v>45693874</v>
      </c>
      <c r="G120" s="31">
        <v>43259423</v>
      </c>
      <c r="H120" s="31" t="s">
        <v>73</v>
      </c>
      <c r="I120" s="31">
        <v>73</v>
      </c>
      <c r="J120" s="31" t="s">
        <v>50</v>
      </c>
      <c r="K120" s="31" t="s">
        <v>53</v>
      </c>
      <c r="L120" s="31" t="s">
        <v>54</v>
      </c>
      <c r="M120" s="31" t="s">
        <v>54</v>
      </c>
      <c r="N120" s="31" t="s">
        <v>215</v>
      </c>
      <c r="O120" s="31" t="s">
        <v>56</v>
      </c>
      <c r="P120" s="31" t="s">
        <v>50</v>
      </c>
      <c r="Q120" s="31">
        <v>26750</v>
      </c>
      <c r="R120" s="31" t="s">
        <v>57</v>
      </c>
      <c r="S120" s="31" t="s">
        <v>65</v>
      </c>
      <c r="T120" s="31" t="s">
        <v>58</v>
      </c>
      <c r="U120" s="31" t="s">
        <v>58</v>
      </c>
      <c r="V120" s="30">
        <v>46038</v>
      </c>
      <c r="W120" s="34">
        <v>0.64236111111111116</v>
      </c>
      <c r="X120" s="34">
        <v>0.70138888888888884</v>
      </c>
      <c r="Y120" s="31"/>
    </row>
    <row r="121" spans="1:25" ht="12.75" x14ac:dyDescent="0.2">
      <c r="A121" s="30">
        <v>46038</v>
      </c>
      <c r="B121" s="31" t="s">
        <v>141</v>
      </c>
      <c r="C121" s="31">
        <v>1</v>
      </c>
      <c r="D121" s="31" t="s">
        <v>60</v>
      </c>
      <c r="E121" s="31" t="s">
        <v>72</v>
      </c>
      <c r="F121" s="48">
        <v>45693874</v>
      </c>
      <c r="G121" s="31">
        <v>73510777</v>
      </c>
      <c r="H121" s="31" t="s">
        <v>73</v>
      </c>
      <c r="I121" s="31">
        <v>20</v>
      </c>
      <c r="J121" s="31" t="s">
        <v>50</v>
      </c>
      <c r="K121" s="31" t="s">
        <v>63</v>
      </c>
      <c r="L121" s="31" t="s">
        <v>54</v>
      </c>
      <c r="M121" s="31" t="s">
        <v>54</v>
      </c>
      <c r="N121" s="31" t="s">
        <v>215</v>
      </c>
      <c r="O121" s="31" t="s">
        <v>56</v>
      </c>
      <c r="P121" s="31" t="s">
        <v>50</v>
      </c>
      <c r="Q121" s="31">
        <v>26735</v>
      </c>
      <c r="R121" s="31" t="s">
        <v>57</v>
      </c>
      <c r="S121" s="31" t="s">
        <v>65</v>
      </c>
      <c r="T121" s="31" t="s">
        <v>58</v>
      </c>
      <c r="U121" s="31" t="s">
        <v>58</v>
      </c>
      <c r="V121" s="30">
        <v>46038</v>
      </c>
      <c r="W121" s="34">
        <v>0.70833333333333337</v>
      </c>
      <c r="X121" s="34">
        <v>0.80555555555555558</v>
      </c>
      <c r="Y121" s="31"/>
    </row>
    <row r="122" spans="1:25" ht="12.75" x14ac:dyDescent="0.2">
      <c r="A122" s="53">
        <v>46037</v>
      </c>
      <c r="B122" s="31" t="s">
        <v>127</v>
      </c>
      <c r="C122" s="31">
        <v>1</v>
      </c>
      <c r="D122" s="31" t="s">
        <v>60</v>
      </c>
      <c r="E122" s="31" t="s">
        <v>152</v>
      </c>
      <c r="F122" s="31" t="s">
        <v>153</v>
      </c>
      <c r="G122" s="31">
        <v>33672520</v>
      </c>
      <c r="H122" s="31" t="s">
        <v>52</v>
      </c>
      <c r="I122" s="31">
        <v>54</v>
      </c>
      <c r="J122" s="31" t="s">
        <v>63</v>
      </c>
      <c r="K122" s="31" t="s">
        <v>63</v>
      </c>
      <c r="L122" s="31" t="s">
        <v>54</v>
      </c>
      <c r="M122" s="31" t="s">
        <v>54</v>
      </c>
      <c r="N122" s="31" t="s">
        <v>154</v>
      </c>
      <c r="O122" s="31" t="s">
        <v>56</v>
      </c>
      <c r="P122" s="31" t="s">
        <v>50</v>
      </c>
      <c r="Q122" s="31">
        <v>47.564</v>
      </c>
      <c r="R122" s="31" t="s">
        <v>57</v>
      </c>
      <c r="S122" s="31" t="s">
        <v>57</v>
      </c>
      <c r="T122" s="31" t="s">
        <v>58</v>
      </c>
      <c r="U122" s="31" t="s">
        <v>58</v>
      </c>
      <c r="V122" s="53">
        <v>46037</v>
      </c>
      <c r="W122" s="34">
        <v>0</v>
      </c>
      <c r="X122" s="34">
        <v>0.1111111111111111</v>
      </c>
      <c r="Y122" s="31"/>
    </row>
    <row r="123" spans="1:25" ht="12.75" x14ac:dyDescent="0.2">
      <c r="A123" s="30">
        <v>46041</v>
      </c>
      <c r="B123" s="31" t="s">
        <v>50</v>
      </c>
      <c r="C123" s="31">
        <v>1</v>
      </c>
      <c r="D123" s="31" t="s">
        <v>60</v>
      </c>
      <c r="E123" s="31" t="s">
        <v>216</v>
      </c>
      <c r="F123" s="48">
        <v>21523144</v>
      </c>
      <c r="G123" s="31">
        <v>61807519</v>
      </c>
      <c r="H123" s="31" t="s">
        <v>62</v>
      </c>
      <c r="I123" s="31">
        <v>18</v>
      </c>
      <c r="J123" s="31" t="s">
        <v>50</v>
      </c>
      <c r="K123" s="31" t="s">
        <v>63</v>
      </c>
      <c r="L123" s="31" t="s">
        <v>54</v>
      </c>
      <c r="M123" s="31" t="s">
        <v>54</v>
      </c>
      <c r="N123" s="31" t="s">
        <v>64</v>
      </c>
      <c r="O123" s="31" t="s">
        <v>56</v>
      </c>
      <c r="P123" s="31" t="s">
        <v>50</v>
      </c>
      <c r="Q123" s="31">
        <v>90.873999999999995</v>
      </c>
      <c r="R123" s="31" t="s">
        <v>57</v>
      </c>
      <c r="S123" s="31" t="s">
        <v>65</v>
      </c>
      <c r="T123" s="31" t="s">
        <v>58</v>
      </c>
      <c r="U123" s="31" t="s">
        <v>58</v>
      </c>
      <c r="V123" s="30">
        <v>46041</v>
      </c>
      <c r="W123" s="34">
        <v>0.33333333333333331</v>
      </c>
      <c r="X123" s="34">
        <v>0.35416666666666669</v>
      </c>
      <c r="Y123" s="31"/>
    </row>
    <row r="124" spans="1:25" ht="12.75" x14ac:dyDescent="0.2">
      <c r="A124" s="30">
        <v>46041</v>
      </c>
      <c r="B124" s="31" t="s">
        <v>50</v>
      </c>
      <c r="C124" s="31">
        <v>1</v>
      </c>
      <c r="D124" s="31" t="s">
        <v>50</v>
      </c>
      <c r="E124" s="31" t="s">
        <v>176</v>
      </c>
      <c r="F124" s="31">
        <v>21523144</v>
      </c>
      <c r="G124" s="31">
        <v>2801297</v>
      </c>
      <c r="H124" s="31" t="s">
        <v>62</v>
      </c>
      <c r="I124" s="31">
        <v>55</v>
      </c>
      <c r="J124" s="31" t="s">
        <v>50</v>
      </c>
      <c r="K124" s="31" t="s">
        <v>58</v>
      </c>
      <c r="L124" s="31" t="s">
        <v>58</v>
      </c>
      <c r="M124" s="31" t="s">
        <v>57</v>
      </c>
      <c r="N124" s="31" t="s">
        <v>64</v>
      </c>
      <c r="O124" s="31" t="s">
        <v>56</v>
      </c>
      <c r="P124" s="31" t="s">
        <v>50</v>
      </c>
      <c r="Q124" s="31">
        <v>90.873999999999995</v>
      </c>
      <c r="R124" s="31" t="s">
        <v>57</v>
      </c>
      <c r="S124" s="31" t="s">
        <v>65</v>
      </c>
      <c r="T124" s="31" t="s">
        <v>58</v>
      </c>
      <c r="U124" s="31" t="s">
        <v>58</v>
      </c>
      <c r="V124" s="30">
        <v>46041</v>
      </c>
      <c r="W124" s="34">
        <v>0.375</v>
      </c>
      <c r="X124" s="34">
        <v>0.39583333333333331</v>
      </c>
      <c r="Y124" s="31"/>
    </row>
    <row r="125" spans="1:25" ht="12.75" x14ac:dyDescent="0.2">
      <c r="A125" s="30">
        <v>46041</v>
      </c>
      <c r="B125" s="31" t="s">
        <v>50</v>
      </c>
      <c r="C125" s="31">
        <v>1</v>
      </c>
      <c r="D125" s="31" t="s">
        <v>50</v>
      </c>
      <c r="E125" s="31" t="s">
        <v>176</v>
      </c>
      <c r="F125" s="48">
        <v>21523144</v>
      </c>
      <c r="G125" s="31">
        <v>8804056</v>
      </c>
      <c r="H125" s="31" t="s">
        <v>62</v>
      </c>
      <c r="I125" s="31">
        <v>66</v>
      </c>
      <c r="J125" s="31" t="s">
        <v>50</v>
      </c>
      <c r="K125" s="31" t="s">
        <v>58</v>
      </c>
      <c r="L125" s="31" t="s">
        <v>54</v>
      </c>
      <c r="M125" s="31" t="s">
        <v>57</v>
      </c>
      <c r="N125" s="31" t="s">
        <v>64</v>
      </c>
      <c r="O125" s="31" t="s">
        <v>56</v>
      </c>
      <c r="P125" s="31" t="s">
        <v>50</v>
      </c>
      <c r="Q125" s="31">
        <v>90874</v>
      </c>
      <c r="R125" s="31" t="s">
        <v>57</v>
      </c>
      <c r="S125" s="31" t="s">
        <v>65</v>
      </c>
      <c r="T125" s="31" t="s">
        <v>58</v>
      </c>
      <c r="U125" s="31" t="s">
        <v>58</v>
      </c>
      <c r="V125" s="30">
        <v>46041</v>
      </c>
      <c r="W125" s="34">
        <v>0.41666666666666669</v>
      </c>
      <c r="X125" s="34">
        <v>0.4375</v>
      </c>
      <c r="Y125" s="31"/>
    </row>
    <row r="126" spans="1:25" ht="12.75" x14ac:dyDescent="0.2">
      <c r="A126" s="30">
        <v>46041</v>
      </c>
      <c r="B126" s="31" t="s">
        <v>50</v>
      </c>
      <c r="C126" s="31">
        <v>1</v>
      </c>
      <c r="D126" s="31" t="s">
        <v>60</v>
      </c>
      <c r="E126" s="31" t="s">
        <v>216</v>
      </c>
      <c r="F126" s="48">
        <v>21523144</v>
      </c>
      <c r="G126" s="31" t="s">
        <v>217</v>
      </c>
      <c r="H126" s="31" t="s">
        <v>62</v>
      </c>
      <c r="I126" s="31">
        <v>59</v>
      </c>
      <c r="J126" s="31" t="s">
        <v>63</v>
      </c>
      <c r="K126" s="31" t="s">
        <v>63</v>
      </c>
      <c r="L126" s="31" t="s">
        <v>54</v>
      </c>
      <c r="M126" s="31" t="s">
        <v>54</v>
      </c>
      <c r="N126" s="31" t="s">
        <v>64</v>
      </c>
      <c r="O126" s="31" t="s">
        <v>56</v>
      </c>
      <c r="P126" s="31" t="s">
        <v>50</v>
      </c>
      <c r="Q126" s="31">
        <v>90874</v>
      </c>
      <c r="R126" s="31" t="s">
        <v>57</v>
      </c>
      <c r="S126" s="31" t="s">
        <v>65</v>
      </c>
      <c r="T126" s="31" t="s">
        <v>58</v>
      </c>
      <c r="U126" s="31" t="s">
        <v>58</v>
      </c>
      <c r="V126" s="30">
        <v>46041</v>
      </c>
      <c r="W126" s="34">
        <v>0.45833333333333331</v>
      </c>
      <c r="X126" s="34">
        <v>0.47916666666666669</v>
      </c>
      <c r="Y126" s="31"/>
    </row>
    <row r="127" spans="1:25" ht="12.75" x14ac:dyDescent="0.2">
      <c r="A127" s="30">
        <v>46041</v>
      </c>
      <c r="B127" s="31" t="s">
        <v>59</v>
      </c>
      <c r="C127" s="31">
        <v>1</v>
      </c>
      <c r="D127" s="31" t="s">
        <v>60</v>
      </c>
      <c r="E127" s="31" t="s">
        <v>218</v>
      </c>
      <c r="F127" s="48">
        <v>71094795</v>
      </c>
      <c r="G127" s="31">
        <v>43328989</v>
      </c>
      <c r="H127" s="31" t="s">
        <v>125</v>
      </c>
      <c r="I127" s="31">
        <v>73</v>
      </c>
      <c r="J127" s="31" t="s">
        <v>50</v>
      </c>
      <c r="K127" s="31" t="s">
        <v>53</v>
      </c>
      <c r="L127" s="31" t="s">
        <v>58</v>
      </c>
      <c r="M127" s="31" t="s">
        <v>54</v>
      </c>
      <c r="N127" s="31" t="s">
        <v>126</v>
      </c>
      <c r="O127" s="31" t="s">
        <v>56</v>
      </c>
      <c r="P127" s="31" t="s">
        <v>81</v>
      </c>
      <c r="Q127" s="31">
        <v>66982</v>
      </c>
      <c r="R127" s="31" t="s">
        <v>57</v>
      </c>
      <c r="S127" s="31" t="s">
        <v>65</v>
      </c>
      <c r="T127" s="31" t="s">
        <v>66</v>
      </c>
      <c r="U127" s="31" t="s">
        <v>58</v>
      </c>
      <c r="V127" s="30">
        <v>46041</v>
      </c>
      <c r="W127" s="34">
        <v>0.35416666666666669</v>
      </c>
      <c r="X127" s="34">
        <v>0.39583333333333331</v>
      </c>
      <c r="Y127" s="31"/>
    </row>
    <row r="128" spans="1:25" ht="12.75" x14ac:dyDescent="0.2">
      <c r="A128" s="30">
        <v>46041</v>
      </c>
      <c r="B128" s="31" t="s">
        <v>67</v>
      </c>
      <c r="C128" s="31">
        <v>1</v>
      </c>
      <c r="D128" s="31" t="s">
        <v>60</v>
      </c>
      <c r="E128" s="31" t="s">
        <v>218</v>
      </c>
      <c r="F128" s="48">
        <v>71094795</v>
      </c>
      <c r="G128" s="31">
        <v>10106432</v>
      </c>
      <c r="H128" s="31" t="s">
        <v>125</v>
      </c>
      <c r="I128" s="31">
        <v>71</v>
      </c>
      <c r="J128" s="31" t="s">
        <v>50</v>
      </c>
      <c r="K128" s="31" t="s">
        <v>103</v>
      </c>
      <c r="L128" s="31" t="s">
        <v>58</v>
      </c>
      <c r="M128" s="31" t="s">
        <v>54</v>
      </c>
      <c r="N128" s="31" t="s">
        <v>126</v>
      </c>
      <c r="O128" s="31" t="s">
        <v>56</v>
      </c>
      <c r="P128" s="31" t="s">
        <v>81</v>
      </c>
      <c r="Q128" s="31">
        <v>66982</v>
      </c>
      <c r="R128" s="31" t="s">
        <v>57</v>
      </c>
      <c r="S128" s="31" t="s">
        <v>65</v>
      </c>
      <c r="T128" s="31" t="s">
        <v>66</v>
      </c>
      <c r="U128" s="31" t="s">
        <v>58</v>
      </c>
      <c r="V128" s="30">
        <v>46041</v>
      </c>
      <c r="W128" s="34">
        <v>0.40625</v>
      </c>
      <c r="X128" s="34">
        <v>0.44791666666666669</v>
      </c>
      <c r="Y128" s="31"/>
    </row>
    <row r="129" spans="1:35" ht="12.75" x14ac:dyDescent="0.2">
      <c r="A129" s="30">
        <v>46041</v>
      </c>
      <c r="B129" s="31" t="s">
        <v>59</v>
      </c>
      <c r="C129" s="31">
        <v>1</v>
      </c>
      <c r="D129" s="31" t="s">
        <v>60</v>
      </c>
      <c r="E129" s="31" t="s">
        <v>162</v>
      </c>
      <c r="F129" s="48" t="s">
        <v>163</v>
      </c>
      <c r="G129" s="31">
        <v>6068478</v>
      </c>
      <c r="H129" s="31" t="s">
        <v>73</v>
      </c>
      <c r="I129" s="31">
        <v>82</v>
      </c>
      <c r="J129" s="31" t="s">
        <v>63</v>
      </c>
      <c r="K129" s="31" t="s">
        <v>63</v>
      </c>
      <c r="L129" s="31" t="s">
        <v>54</v>
      </c>
      <c r="M129" s="31" t="s">
        <v>54</v>
      </c>
      <c r="N129" s="31" t="s">
        <v>219</v>
      </c>
      <c r="O129" s="31" t="s">
        <v>56</v>
      </c>
      <c r="P129" s="31" t="s">
        <v>81</v>
      </c>
      <c r="Q129" s="31">
        <v>27447</v>
      </c>
      <c r="R129" s="31" t="s">
        <v>57</v>
      </c>
      <c r="S129" s="31" t="s">
        <v>65</v>
      </c>
      <c r="T129" s="31" t="s">
        <v>58</v>
      </c>
      <c r="U129" s="31" t="s">
        <v>58</v>
      </c>
      <c r="V129" s="30">
        <v>46041</v>
      </c>
      <c r="W129" s="31" t="s">
        <v>220</v>
      </c>
      <c r="X129" s="34">
        <v>0.4861111111111111</v>
      </c>
      <c r="Y129" s="31"/>
    </row>
    <row r="130" spans="1:35" ht="12.75" x14ac:dyDescent="0.2">
      <c r="A130" s="30">
        <v>46041</v>
      </c>
      <c r="B130" s="31" t="s">
        <v>67</v>
      </c>
      <c r="C130" s="31">
        <v>1</v>
      </c>
      <c r="D130" s="31" t="s">
        <v>50</v>
      </c>
      <c r="E130" s="31" t="s">
        <v>221</v>
      </c>
      <c r="F130" s="48">
        <v>43965076</v>
      </c>
      <c r="G130" s="31">
        <v>44750377</v>
      </c>
      <c r="H130" s="31" t="s">
        <v>73</v>
      </c>
      <c r="I130" s="31">
        <v>38</v>
      </c>
      <c r="J130" s="31" t="s">
        <v>50</v>
      </c>
      <c r="K130" s="31" t="s">
        <v>81</v>
      </c>
      <c r="L130" s="31" t="s">
        <v>54</v>
      </c>
      <c r="M130" s="31" t="s">
        <v>54</v>
      </c>
      <c r="N130" s="31" t="s">
        <v>222</v>
      </c>
      <c r="O130" s="31" t="s">
        <v>56</v>
      </c>
      <c r="P130" s="31" t="s">
        <v>81</v>
      </c>
      <c r="Q130" s="31">
        <v>23600</v>
      </c>
      <c r="R130" s="31" t="s">
        <v>57</v>
      </c>
      <c r="S130" s="31" t="s">
        <v>65</v>
      </c>
      <c r="T130" s="31" t="s">
        <v>58</v>
      </c>
      <c r="U130" s="31" t="s">
        <v>58</v>
      </c>
      <c r="V130" s="30">
        <v>46041</v>
      </c>
      <c r="W130" s="34">
        <v>0.52083333333333337</v>
      </c>
      <c r="X130" s="34">
        <v>0.58333333333333337</v>
      </c>
      <c r="Y130" s="31"/>
    </row>
    <row r="131" spans="1:35" ht="12.75" x14ac:dyDescent="0.2">
      <c r="A131" s="30">
        <v>46041</v>
      </c>
      <c r="B131" s="31" t="s">
        <v>100</v>
      </c>
      <c r="C131" s="31">
        <v>1</v>
      </c>
      <c r="D131" s="31" t="s">
        <v>60</v>
      </c>
      <c r="E131" s="31" t="s">
        <v>51</v>
      </c>
      <c r="F131" s="31">
        <v>21866455</v>
      </c>
      <c r="G131" s="31">
        <v>10364896</v>
      </c>
      <c r="H131" s="31" t="s">
        <v>52</v>
      </c>
      <c r="I131" s="31">
        <v>63</v>
      </c>
      <c r="J131" s="31" t="s">
        <v>63</v>
      </c>
      <c r="K131" s="31" t="s">
        <v>63</v>
      </c>
      <c r="L131" s="31" t="s">
        <v>54</v>
      </c>
      <c r="M131" s="31" t="s">
        <v>54</v>
      </c>
      <c r="N131" s="31" t="s">
        <v>223</v>
      </c>
      <c r="O131" s="31" t="s">
        <v>56</v>
      </c>
      <c r="P131" s="31" t="s">
        <v>81</v>
      </c>
      <c r="Q131" s="31">
        <v>1330</v>
      </c>
      <c r="R131" s="31" t="s">
        <v>57</v>
      </c>
      <c r="S131" s="31" t="s">
        <v>65</v>
      </c>
      <c r="T131" s="31" t="s">
        <v>58</v>
      </c>
      <c r="U131" s="31" t="s">
        <v>58</v>
      </c>
      <c r="V131" s="30">
        <v>46041</v>
      </c>
      <c r="W131" s="34">
        <v>0.66666666666666663</v>
      </c>
      <c r="X131" s="34">
        <v>0.72916666666666663</v>
      </c>
      <c r="Y131" s="31"/>
    </row>
    <row r="132" spans="1:35" ht="12.75" x14ac:dyDescent="0.2">
      <c r="A132" s="30">
        <v>46041</v>
      </c>
      <c r="B132" s="31" t="s">
        <v>93</v>
      </c>
      <c r="C132" s="31">
        <v>1</v>
      </c>
      <c r="D132" s="31" t="s">
        <v>60</v>
      </c>
      <c r="E132" s="31" t="s">
        <v>137</v>
      </c>
      <c r="F132" s="48">
        <v>20078680</v>
      </c>
      <c r="G132" s="31">
        <v>16759122</v>
      </c>
      <c r="H132" s="31" t="s">
        <v>52</v>
      </c>
      <c r="I132" s="31">
        <v>68</v>
      </c>
      <c r="J132" s="31" t="s">
        <v>50</v>
      </c>
      <c r="K132" s="31" t="s">
        <v>103</v>
      </c>
      <c r="L132" s="31" t="s">
        <v>58</v>
      </c>
      <c r="M132" s="31" t="s">
        <v>54</v>
      </c>
      <c r="N132" s="31" t="s">
        <v>157</v>
      </c>
      <c r="O132" s="31" t="s">
        <v>56</v>
      </c>
      <c r="P132" s="31" t="s">
        <v>81</v>
      </c>
      <c r="Q132" s="31">
        <v>49565</v>
      </c>
      <c r="R132" s="31" t="s">
        <v>57</v>
      </c>
      <c r="S132" s="31" t="s">
        <v>65</v>
      </c>
      <c r="T132" s="31" t="s">
        <v>58</v>
      </c>
      <c r="U132" s="31" t="s">
        <v>58</v>
      </c>
      <c r="V132" s="30">
        <v>46041</v>
      </c>
      <c r="W132" s="34">
        <v>0.33333333333333331</v>
      </c>
      <c r="X132" s="34">
        <v>0.4375</v>
      </c>
      <c r="Y132" s="31"/>
    </row>
    <row r="133" spans="1:35" ht="12.75" x14ac:dyDescent="0.2">
      <c r="A133" s="30">
        <v>46041</v>
      </c>
      <c r="B133" s="31" t="s">
        <v>97</v>
      </c>
      <c r="C133" s="31">
        <v>1</v>
      </c>
      <c r="D133" s="31" t="s">
        <v>60</v>
      </c>
      <c r="E133" s="31" t="s">
        <v>159</v>
      </c>
      <c r="F133" s="31">
        <v>22254408</v>
      </c>
      <c r="G133" s="31">
        <v>5203761</v>
      </c>
      <c r="H133" s="31" t="s">
        <v>140</v>
      </c>
      <c r="I133" s="31">
        <v>59</v>
      </c>
      <c r="J133" s="31" t="s">
        <v>63</v>
      </c>
      <c r="K133" s="31" t="s">
        <v>63</v>
      </c>
      <c r="L133" s="31" t="s">
        <v>54</v>
      </c>
      <c r="M133" s="31" t="s">
        <v>54</v>
      </c>
      <c r="N133" s="31" t="s">
        <v>109</v>
      </c>
      <c r="O133" s="31" t="s">
        <v>56</v>
      </c>
      <c r="P133" s="31" t="s">
        <v>81</v>
      </c>
      <c r="Q133" s="31">
        <v>47562</v>
      </c>
      <c r="R133" s="31" t="s">
        <v>57</v>
      </c>
      <c r="S133" s="31" t="s">
        <v>65</v>
      </c>
      <c r="T133" s="31" t="s">
        <v>58</v>
      </c>
      <c r="U133" s="31" t="s">
        <v>58</v>
      </c>
      <c r="V133" s="30">
        <v>46041</v>
      </c>
      <c r="W133" s="34">
        <v>0.45833333333333331</v>
      </c>
      <c r="X133" s="34">
        <v>0.54166666666666663</v>
      </c>
      <c r="Y133" s="31"/>
    </row>
    <row r="134" spans="1:35" ht="12.75" x14ac:dyDescent="0.2">
      <c r="A134" s="30">
        <v>46041</v>
      </c>
      <c r="B134" s="31" t="s">
        <v>100</v>
      </c>
      <c r="C134" s="31">
        <v>1</v>
      </c>
      <c r="D134" s="31" t="s">
        <v>60</v>
      </c>
      <c r="E134" s="31" t="s">
        <v>110</v>
      </c>
      <c r="F134" s="31">
        <v>23928859</v>
      </c>
      <c r="G134" s="31">
        <v>8978247</v>
      </c>
      <c r="H134" s="31" t="s">
        <v>52</v>
      </c>
      <c r="I134" s="31">
        <v>61</v>
      </c>
      <c r="J134" s="31" t="s">
        <v>63</v>
      </c>
      <c r="K134" s="31" t="s">
        <v>63</v>
      </c>
      <c r="L134" s="31" t="s">
        <v>54</v>
      </c>
      <c r="M134" s="31" t="s">
        <v>54</v>
      </c>
      <c r="N134" s="31" t="s">
        <v>109</v>
      </c>
      <c r="O134" s="31" t="s">
        <v>56</v>
      </c>
      <c r="P134" s="31" t="s">
        <v>81</v>
      </c>
      <c r="Q134" s="31">
        <v>47562</v>
      </c>
      <c r="R134" s="31" t="s">
        <v>57</v>
      </c>
      <c r="S134" s="31" t="s">
        <v>65</v>
      </c>
      <c r="T134" s="31" t="s">
        <v>58</v>
      </c>
      <c r="U134" s="31" t="s">
        <v>58</v>
      </c>
      <c r="V134" s="30">
        <v>46041</v>
      </c>
      <c r="W134" s="34">
        <v>0.5625</v>
      </c>
      <c r="X134" s="34">
        <v>0.625</v>
      </c>
      <c r="Y134" s="31"/>
    </row>
    <row r="135" spans="1:35" ht="12.75" x14ac:dyDescent="0.2">
      <c r="A135" s="30">
        <v>46041</v>
      </c>
      <c r="B135" s="31" t="s">
        <v>141</v>
      </c>
      <c r="C135" s="31">
        <v>1</v>
      </c>
      <c r="D135" s="31" t="s">
        <v>60</v>
      </c>
      <c r="E135" s="31" t="s">
        <v>110</v>
      </c>
      <c r="F135" s="48">
        <v>23928859</v>
      </c>
      <c r="G135" s="31">
        <v>42240783</v>
      </c>
      <c r="H135" s="31" t="s">
        <v>52</v>
      </c>
      <c r="I135" s="31">
        <v>77</v>
      </c>
      <c r="J135" s="31" t="s">
        <v>50</v>
      </c>
      <c r="K135" s="31" t="s">
        <v>103</v>
      </c>
      <c r="L135" s="31" t="s">
        <v>54</v>
      </c>
      <c r="M135" s="31" t="s">
        <v>54</v>
      </c>
      <c r="N135" s="31" t="s">
        <v>109</v>
      </c>
      <c r="O135" s="31" t="s">
        <v>56</v>
      </c>
      <c r="P135" s="31" t="s">
        <v>81</v>
      </c>
      <c r="Q135" s="31">
        <v>47562</v>
      </c>
      <c r="R135" s="31" t="s">
        <v>57</v>
      </c>
      <c r="S135" s="31" t="s">
        <v>65</v>
      </c>
      <c r="T135" s="31" t="s">
        <v>58</v>
      </c>
      <c r="U135" s="31" t="s">
        <v>58</v>
      </c>
      <c r="V135" s="30">
        <v>46041</v>
      </c>
      <c r="W135" s="34">
        <v>0.64583333333333337</v>
      </c>
      <c r="X135" s="34">
        <v>0.72916666666666663</v>
      </c>
      <c r="Y135" s="31"/>
    </row>
    <row r="136" spans="1:35" ht="12.75" x14ac:dyDescent="0.2">
      <c r="A136" s="30">
        <v>46041</v>
      </c>
      <c r="B136" s="31" t="s">
        <v>59</v>
      </c>
      <c r="C136" s="31">
        <v>1</v>
      </c>
      <c r="D136" s="31" t="s">
        <v>50</v>
      </c>
      <c r="E136" s="31" t="s">
        <v>78</v>
      </c>
      <c r="F136" s="48">
        <v>43403659</v>
      </c>
      <c r="G136" s="31">
        <v>76250912</v>
      </c>
      <c r="H136" s="31" t="s">
        <v>224</v>
      </c>
      <c r="I136" s="31">
        <v>28</v>
      </c>
      <c r="J136" s="31" t="s">
        <v>50</v>
      </c>
      <c r="K136" s="31" t="s">
        <v>58</v>
      </c>
      <c r="L136" s="31" t="s">
        <v>54</v>
      </c>
      <c r="M136" s="31" t="s">
        <v>54</v>
      </c>
      <c r="N136" s="31" t="s">
        <v>80</v>
      </c>
      <c r="O136" s="31" t="s">
        <v>56</v>
      </c>
      <c r="P136" s="31" t="s">
        <v>81</v>
      </c>
      <c r="Q136" s="31">
        <v>30520</v>
      </c>
      <c r="R136" s="31" t="s">
        <v>57</v>
      </c>
      <c r="S136" s="31" t="s">
        <v>65</v>
      </c>
      <c r="T136" s="31" t="s">
        <v>58</v>
      </c>
      <c r="U136" s="31" t="s">
        <v>58</v>
      </c>
      <c r="V136" s="30">
        <v>46041</v>
      </c>
      <c r="W136" s="34">
        <v>0.46527777777777779</v>
      </c>
      <c r="X136" s="34">
        <v>0.625</v>
      </c>
      <c r="Y136" s="31"/>
    </row>
    <row r="137" spans="1:35" ht="12.75" x14ac:dyDescent="0.2">
      <c r="A137" s="30">
        <v>46041</v>
      </c>
      <c r="B137" s="31" t="s">
        <v>67</v>
      </c>
      <c r="C137" s="31">
        <v>1</v>
      </c>
      <c r="D137" s="31" t="s">
        <v>50</v>
      </c>
      <c r="E137" s="31" t="s">
        <v>78</v>
      </c>
      <c r="F137" s="31">
        <v>43403659</v>
      </c>
      <c r="G137" s="31">
        <v>62128363</v>
      </c>
      <c r="H137" s="31" t="s">
        <v>224</v>
      </c>
      <c r="I137" s="31">
        <v>19</v>
      </c>
      <c r="J137" s="31" t="s">
        <v>50</v>
      </c>
      <c r="K137" s="31" t="s">
        <v>58</v>
      </c>
      <c r="L137" s="31" t="s">
        <v>76</v>
      </c>
      <c r="M137" s="31" t="s">
        <v>54</v>
      </c>
      <c r="N137" s="31" t="s">
        <v>80</v>
      </c>
      <c r="O137" s="31" t="s">
        <v>56</v>
      </c>
      <c r="P137" s="31" t="s">
        <v>81</v>
      </c>
      <c r="Q137" s="31">
        <v>30520</v>
      </c>
      <c r="R137" s="31" t="s">
        <v>57</v>
      </c>
      <c r="S137" s="31" t="s">
        <v>65</v>
      </c>
      <c r="T137" s="31" t="s">
        <v>66</v>
      </c>
      <c r="U137" s="31" t="s">
        <v>58</v>
      </c>
      <c r="V137" s="30">
        <v>46041</v>
      </c>
      <c r="W137" s="34">
        <v>0.34027777777777779</v>
      </c>
      <c r="X137" s="34">
        <v>0.44791666666666669</v>
      </c>
      <c r="Y137" s="31"/>
    </row>
    <row r="138" spans="1:35" ht="12.75" x14ac:dyDescent="0.2">
      <c r="A138" s="30">
        <v>46039</v>
      </c>
      <c r="B138" s="31" t="s">
        <v>49</v>
      </c>
      <c r="C138" s="31">
        <v>1</v>
      </c>
      <c r="D138" s="31" t="s">
        <v>60</v>
      </c>
      <c r="E138" s="31" t="s">
        <v>142</v>
      </c>
      <c r="F138" s="48">
        <v>45782157</v>
      </c>
      <c r="G138" s="31">
        <v>7817482</v>
      </c>
      <c r="H138" s="31" t="s">
        <v>52</v>
      </c>
      <c r="I138" s="31">
        <v>83</v>
      </c>
      <c r="J138" s="31" t="s">
        <v>50</v>
      </c>
      <c r="K138" s="31" t="s">
        <v>53</v>
      </c>
      <c r="L138" s="31" t="s">
        <v>58</v>
      </c>
      <c r="M138" s="31" t="s">
        <v>54</v>
      </c>
      <c r="N138" s="31" t="s">
        <v>109</v>
      </c>
      <c r="O138" s="31" t="s">
        <v>56</v>
      </c>
      <c r="P138" s="31" t="s">
        <v>81</v>
      </c>
      <c r="Q138" s="31">
        <v>47562</v>
      </c>
      <c r="R138" s="31" t="s">
        <v>57</v>
      </c>
      <c r="S138" s="31" t="s">
        <v>57</v>
      </c>
      <c r="T138" s="31" t="s">
        <v>58</v>
      </c>
      <c r="U138" s="31" t="s">
        <v>58</v>
      </c>
      <c r="V138" s="30">
        <v>46039</v>
      </c>
      <c r="W138" s="31" t="s">
        <v>225</v>
      </c>
      <c r="X138" s="31" t="s">
        <v>226</v>
      </c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</row>
    <row r="139" spans="1:35" ht="12.75" x14ac:dyDescent="0.2">
      <c r="A139" s="30">
        <v>46040</v>
      </c>
      <c r="B139" s="31" t="s">
        <v>49</v>
      </c>
      <c r="C139" s="31">
        <v>1</v>
      </c>
      <c r="D139" s="31" t="s">
        <v>50</v>
      </c>
      <c r="E139" s="31" t="s">
        <v>105</v>
      </c>
      <c r="F139" s="48">
        <v>18174396</v>
      </c>
      <c r="G139" s="31">
        <v>20697715</v>
      </c>
      <c r="H139" s="31" t="s">
        <v>106</v>
      </c>
      <c r="I139" s="31">
        <v>85</v>
      </c>
      <c r="J139" s="31" t="s">
        <v>63</v>
      </c>
      <c r="K139" s="31" t="s">
        <v>103</v>
      </c>
      <c r="L139" s="31" t="s">
        <v>54</v>
      </c>
      <c r="M139" s="31" t="s">
        <v>54</v>
      </c>
      <c r="N139" s="31" t="s">
        <v>227</v>
      </c>
      <c r="O139" s="31" t="s">
        <v>56</v>
      </c>
      <c r="P139" s="31" t="s">
        <v>81</v>
      </c>
      <c r="Q139" s="31">
        <v>34257</v>
      </c>
      <c r="R139" s="31" t="s">
        <v>128</v>
      </c>
      <c r="S139" s="31" t="s">
        <v>57</v>
      </c>
      <c r="T139" s="31" t="s">
        <v>129</v>
      </c>
      <c r="U139" s="31" t="s">
        <v>58</v>
      </c>
      <c r="V139" s="30">
        <v>46040</v>
      </c>
      <c r="W139" s="34">
        <v>0.44791666666666669</v>
      </c>
      <c r="X139" s="34">
        <v>0.67708333333333337</v>
      </c>
      <c r="Y139" s="31"/>
      <c r="Z139" s="31"/>
      <c r="AA139" s="31"/>
      <c r="AB139" s="31"/>
      <c r="AC139" s="31"/>
      <c r="AD139" s="31"/>
      <c r="AE139" s="31"/>
      <c r="AG139" s="31"/>
      <c r="AH139" s="31"/>
    </row>
    <row r="140" spans="1:35" ht="12.75" x14ac:dyDescent="0.2">
      <c r="A140" s="30">
        <v>46039</v>
      </c>
      <c r="B140" s="31" t="s">
        <v>50</v>
      </c>
      <c r="C140" s="31">
        <v>1</v>
      </c>
      <c r="D140" s="31" t="s">
        <v>60</v>
      </c>
      <c r="E140" s="31" t="s">
        <v>228</v>
      </c>
      <c r="F140" s="48">
        <v>10149432</v>
      </c>
      <c r="G140" s="31">
        <v>10149432</v>
      </c>
      <c r="H140" s="31" t="s">
        <v>52</v>
      </c>
      <c r="I140" s="31">
        <v>79</v>
      </c>
      <c r="J140" s="31" t="s">
        <v>63</v>
      </c>
      <c r="K140" s="31" t="s">
        <v>54</v>
      </c>
      <c r="L140" s="31" t="s">
        <v>54</v>
      </c>
      <c r="M140" s="31" t="s">
        <v>54</v>
      </c>
      <c r="N140" s="31" t="s">
        <v>229</v>
      </c>
      <c r="O140" s="31" t="s">
        <v>56</v>
      </c>
      <c r="P140" s="31" t="s">
        <v>81</v>
      </c>
      <c r="Q140" s="31">
        <v>457400</v>
      </c>
      <c r="R140" s="31" t="s">
        <v>57</v>
      </c>
      <c r="S140" s="31" t="s">
        <v>65</v>
      </c>
      <c r="T140" s="31" t="s">
        <v>58</v>
      </c>
      <c r="U140" s="31" t="s">
        <v>58</v>
      </c>
      <c r="V140" s="30">
        <v>46039</v>
      </c>
      <c r="W140" s="34">
        <v>0.33333333333333331</v>
      </c>
      <c r="X140" s="34">
        <v>0.54861111111111116</v>
      </c>
      <c r="Y140" s="31"/>
    </row>
    <row r="141" spans="1:35" ht="12.75" x14ac:dyDescent="0.2">
      <c r="A141" s="30">
        <v>46041</v>
      </c>
      <c r="B141" s="31" t="s">
        <v>49</v>
      </c>
      <c r="C141" s="31">
        <v>1</v>
      </c>
      <c r="D141" s="31" t="s">
        <v>60</v>
      </c>
      <c r="E141" s="31" t="s">
        <v>152</v>
      </c>
      <c r="F141" s="48" t="s">
        <v>153</v>
      </c>
      <c r="G141" s="31">
        <v>40126798</v>
      </c>
      <c r="H141" s="31" t="s">
        <v>140</v>
      </c>
      <c r="I141" s="31">
        <v>46</v>
      </c>
      <c r="J141" s="31" t="s">
        <v>63</v>
      </c>
      <c r="K141" s="31" t="s">
        <v>63</v>
      </c>
      <c r="L141" s="31" t="s">
        <v>54</v>
      </c>
      <c r="M141" s="31" t="s">
        <v>54</v>
      </c>
      <c r="N141" s="31" t="s">
        <v>230</v>
      </c>
      <c r="O141" s="31" t="s">
        <v>56</v>
      </c>
      <c r="P141" s="31" t="s">
        <v>81</v>
      </c>
      <c r="Q141" s="31">
        <v>47956</v>
      </c>
      <c r="R141" s="31" t="s">
        <v>57</v>
      </c>
      <c r="S141" s="31" t="s">
        <v>57</v>
      </c>
      <c r="T141" s="31" t="s">
        <v>58</v>
      </c>
      <c r="U141" s="31" t="s">
        <v>58</v>
      </c>
      <c r="V141" s="30">
        <v>46041</v>
      </c>
      <c r="W141" s="34">
        <v>0.75</v>
      </c>
      <c r="X141" s="34">
        <v>0.875</v>
      </c>
      <c r="Y141" s="31"/>
    </row>
    <row r="142" spans="1:35" ht="12.75" x14ac:dyDescent="0.2">
      <c r="A142" s="30">
        <v>46041</v>
      </c>
      <c r="B142" s="31" t="s">
        <v>127</v>
      </c>
      <c r="C142" s="31">
        <v>1</v>
      </c>
      <c r="D142" s="31" t="s">
        <v>60</v>
      </c>
      <c r="E142" s="31" t="s">
        <v>152</v>
      </c>
      <c r="F142" s="48" t="s">
        <v>231</v>
      </c>
      <c r="G142" s="31">
        <v>71148390</v>
      </c>
      <c r="H142" s="31" t="s">
        <v>140</v>
      </c>
      <c r="I142" s="31">
        <v>18</v>
      </c>
      <c r="J142" s="31" t="s">
        <v>63</v>
      </c>
      <c r="K142" s="31" t="s">
        <v>63</v>
      </c>
      <c r="L142" s="31" t="s">
        <v>54</v>
      </c>
      <c r="M142" s="31" t="s">
        <v>54</v>
      </c>
      <c r="N142" s="31" t="s">
        <v>232</v>
      </c>
      <c r="O142" s="31" t="s">
        <v>56</v>
      </c>
      <c r="P142" s="31" t="s">
        <v>81</v>
      </c>
      <c r="Q142" s="31">
        <v>47956</v>
      </c>
      <c r="R142" s="31" t="s">
        <v>57</v>
      </c>
      <c r="S142" s="31" t="s">
        <v>57</v>
      </c>
      <c r="T142" s="31" t="s">
        <v>58</v>
      </c>
      <c r="U142" s="31" t="s">
        <v>58</v>
      </c>
      <c r="V142" s="30">
        <v>46041</v>
      </c>
      <c r="W142" s="34">
        <v>0.89583333333333337</v>
      </c>
      <c r="X142" s="34">
        <v>0.96875</v>
      </c>
      <c r="Y142" s="31"/>
    </row>
    <row r="143" spans="1:35" ht="12.75" x14ac:dyDescent="0.2">
      <c r="A143" s="30">
        <v>46042</v>
      </c>
      <c r="B143" s="31" t="s">
        <v>50</v>
      </c>
      <c r="C143" s="31">
        <v>1</v>
      </c>
      <c r="D143" s="31" t="s">
        <v>50</v>
      </c>
      <c r="E143" s="31" t="s">
        <v>176</v>
      </c>
      <c r="F143" s="48">
        <v>21523144</v>
      </c>
      <c r="G143" s="31">
        <v>10882673</v>
      </c>
      <c r="H143" s="31" t="s">
        <v>177</v>
      </c>
      <c r="I143" s="31">
        <v>49</v>
      </c>
      <c r="J143" s="31" t="s">
        <v>50</v>
      </c>
      <c r="K143" s="31" t="s">
        <v>58</v>
      </c>
      <c r="L143" s="31" t="s">
        <v>58</v>
      </c>
      <c r="M143" s="31" t="s">
        <v>57</v>
      </c>
      <c r="N143" s="31" t="s">
        <v>64</v>
      </c>
      <c r="O143" s="31" t="s">
        <v>56</v>
      </c>
      <c r="P143" s="31" t="s">
        <v>50</v>
      </c>
      <c r="Q143" s="31">
        <v>90874</v>
      </c>
      <c r="R143" s="31"/>
      <c r="S143" s="31" t="s">
        <v>65</v>
      </c>
      <c r="T143" s="31"/>
      <c r="U143" s="31" t="s">
        <v>70</v>
      </c>
      <c r="V143" s="30">
        <v>46042</v>
      </c>
      <c r="W143" s="34"/>
      <c r="X143" s="34"/>
      <c r="Y143" s="31"/>
    </row>
    <row r="144" spans="1:35" ht="12.75" x14ac:dyDescent="0.2">
      <c r="A144" s="30">
        <v>46042</v>
      </c>
      <c r="B144" s="31" t="s">
        <v>50</v>
      </c>
      <c r="C144" s="31">
        <v>1</v>
      </c>
      <c r="D144" s="31" t="s">
        <v>60</v>
      </c>
      <c r="E144" s="31" t="s">
        <v>233</v>
      </c>
      <c r="F144" s="31">
        <v>10318518</v>
      </c>
      <c r="G144" s="31">
        <v>10318518</v>
      </c>
      <c r="H144" s="31" t="s">
        <v>125</v>
      </c>
      <c r="I144" s="31">
        <v>74</v>
      </c>
      <c r="J144" s="31" t="s">
        <v>63</v>
      </c>
      <c r="K144" s="31" t="s">
        <v>63</v>
      </c>
      <c r="L144" s="31" t="s">
        <v>54</v>
      </c>
      <c r="M144" s="31" t="s">
        <v>54</v>
      </c>
      <c r="N144" s="31" t="s">
        <v>126</v>
      </c>
      <c r="O144" s="31" t="s">
        <v>56</v>
      </c>
      <c r="P144" s="31" t="s">
        <v>81</v>
      </c>
      <c r="Q144" s="31">
        <v>66982</v>
      </c>
      <c r="R144" s="31" t="s">
        <v>57</v>
      </c>
      <c r="S144" s="31" t="s">
        <v>65</v>
      </c>
      <c r="T144" s="31" t="s">
        <v>66</v>
      </c>
      <c r="U144" s="31" t="s">
        <v>58</v>
      </c>
      <c r="V144" s="30">
        <v>46042</v>
      </c>
      <c r="W144" s="34">
        <v>0.33333333333333331</v>
      </c>
      <c r="X144" s="34">
        <v>0.375</v>
      </c>
      <c r="Y144" s="31"/>
    </row>
    <row r="145" spans="1:25" ht="12.75" x14ac:dyDescent="0.2">
      <c r="A145" s="30">
        <v>46042</v>
      </c>
      <c r="B145" s="31" t="s">
        <v>50</v>
      </c>
      <c r="C145" s="31">
        <v>1</v>
      </c>
      <c r="D145" s="31" t="s">
        <v>60</v>
      </c>
      <c r="E145" s="31" t="s">
        <v>233</v>
      </c>
      <c r="F145" s="48">
        <v>10318518</v>
      </c>
      <c r="G145" s="31">
        <v>43964487</v>
      </c>
      <c r="H145" s="31" t="s">
        <v>125</v>
      </c>
      <c r="I145" s="31">
        <v>65</v>
      </c>
      <c r="J145" s="31" t="s">
        <v>50</v>
      </c>
      <c r="K145" s="31" t="s">
        <v>63</v>
      </c>
      <c r="L145" s="31" t="s">
        <v>54</v>
      </c>
      <c r="M145" s="31" t="s">
        <v>54</v>
      </c>
      <c r="N145" s="31" t="s">
        <v>126</v>
      </c>
      <c r="O145" s="31" t="s">
        <v>56</v>
      </c>
      <c r="P145" s="31" t="s">
        <v>81</v>
      </c>
      <c r="Q145" s="31">
        <v>66982</v>
      </c>
      <c r="R145" s="31" t="s">
        <v>57</v>
      </c>
      <c r="S145" s="31" t="s">
        <v>65</v>
      </c>
      <c r="T145" s="31" t="s">
        <v>66</v>
      </c>
      <c r="U145" s="31" t="s">
        <v>58</v>
      </c>
      <c r="V145" s="30">
        <v>46042</v>
      </c>
      <c r="W145" s="34">
        <v>0.375</v>
      </c>
      <c r="X145" s="34">
        <v>0.41666666666666669</v>
      </c>
      <c r="Y145" s="31"/>
    </row>
    <row r="146" spans="1:25" ht="12.75" x14ac:dyDescent="0.2">
      <c r="A146" s="30">
        <v>46042</v>
      </c>
      <c r="B146" s="31" t="s">
        <v>234</v>
      </c>
      <c r="C146" s="31">
        <v>1</v>
      </c>
      <c r="D146" s="31" t="s">
        <v>60</v>
      </c>
      <c r="E146" s="31" t="s">
        <v>170</v>
      </c>
      <c r="F146" s="48">
        <v>10796086</v>
      </c>
      <c r="G146" s="31">
        <v>41590155</v>
      </c>
      <c r="H146" s="31" t="s">
        <v>147</v>
      </c>
      <c r="I146" s="31">
        <v>44</v>
      </c>
      <c r="J146" s="31" t="s">
        <v>63</v>
      </c>
      <c r="K146" s="31" t="s">
        <v>63</v>
      </c>
      <c r="L146" s="31" t="s">
        <v>76</v>
      </c>
      <c r="M146" s="31" t="s">
        <v>54</v>
      </c>
      <c r="N146" s="31" t="s">
        <v>235</v>
      </c>
      <c r="O146" s="31" t="s">
        <v>56</v>
      </c>
      <c r="P146" s="31" t="s">
        <v>81</v>
      </c>
      <c r="Q146" s="31">
        <v>585.77</v>
      </c>
      <c r="R146" s="31" t="s">
        <v>57</v>
      </c>
      <c r="S146" s="31" t="s">
        <v>65</v>
      </c>
      <c r="T146" s="31" t="s">
        <v>58</v>
      </c>
      <c r="U146" s="31" t="s">
        <v>58</v>
      </c>
      <c r="V146" s="30">
        <v>46042</v>
      </c>
      <c r="W146" s="34">
        <v>0.35416666666666669</v>
      </c>
      <c r="X146" s="34">
        <v>0.52083333333333337</v>
      </c>
      <c r="Y146" s="31"/>
    </row>
    <row r="147" spans="1:25" ht="12.75" x14ac:dyDescent="0.2">
      <c r="A147" s="30">
        <v>46042</v>
      </c>
      <c r="B147" s="31" t="s">
        <v>71</v>
      </c>
      <c r="C147" s="31">
        <v>1</v>
      </c>
      <c r="D147" s="31" t="s">
        <v>60</v>
      </c>
      <c r="E147" s="31" t="s">
        <v>211</v>
      </c>
      <c r="F147" s="48">
        <v>45693874</v>
      </c>
      <c r="G147" s="31">
        <v>8046814</v>
      </c>
      <c r="H147" s="31" t="s">
        <v>73</v>
      </c>
      <c r="I147" s="31">
        <v>79</v>
      </c>
      <c r="J147" s="31" t="s">
        <v>63</v>
      </c>
      <c r="K147" s="31" t="s">
        <v>63</v>
      </c>
      <c r="L147" s="31" t="s">
        <v>54</v>
      </c>
      <c r="M147" s="31" t="s">
        <v>54</v>
      </c>
      <c r="N147" s="31" t="s">
        <v>236</v>
      </c>
      <c r="O147" s="31" t="s">
        <v>56</v>
      </c>
      <c r="P147" s="31" t="s">
        <v>81</v>
      </c>
      <c r="Q147" s="31">
        <v>24.515000000000001</v>
      </c>
      <c r="R147" s="31" t="s">
        <v>57</v>
      </c>
      <c r="S147" s="31" t="s">
        <v>65</v>
      </c>
      <c r="T147" s="31" t="s">
        <v>58</v>
      </c>
      <c r="U147" s="31" t="s">
        <v>58</v>
      </c>
      <c r="V147" s="30">
        <v>46042</v>
      </c>
      <c r="W147" s="34">
        <v>0.60416666666666663</v>
      </c>
      <c r="X147" s="34">
        <v>0.78472222222222221</v>
      </c>
      <c r="Y147" s="31"/>
    </row>
    <row r="148" spans="1:25" ht="12.75" x14ac:dyDescent="0.2">
      <c r="A148" s="30">
        <v>46042</v>
      </c>
      <c r="B148" s="31" t="s">
        <v>59</v>
      </c>
      <c r="C148" s="31">
        <v>1</v>
      </c>
      <c r="D148" s="31" t="s">
        <v>50</v>
      </c>
      <c r="E148" s="31" t="s">
        <v>237</v>
      </c>
      <c r="F148" s="48" t="s">
        <v>238</v>
      </c>
      <c r="G148" s="31">
        <v>43433892</v>
      </c>
      <c r="H148" s="31" t="s">
        <v>83</v>
      </c>
      <c r="I148" s="31">
        <v>64</v>
      </c>
      <c r="J148" s="31" t="s">
        <v>50</v>
      </c>
      <c r="K148" s="31" t="s">
        <v>103</v>
      </c>
      <c r="L148" s="31" t="s">
        <v>58</v>
      </c>
      <c r="M148" s="31" t="s">
        <v>54</v>
      </c>
      <c r="N148" s="31" t="s">
        <v>239</v>
      </c>
      <c r="O148" s="31" t="s">
        <v>56</v>
      </c>
      <c r="P148" s="31" t="s">
        <v>81</v>
      </c>
      <c r="Q148" s="31">
        <v>52.353999999999999</v>
      </c>
      <c r="R148" s="31" t="s">
        <v>57</v>
      </c>
      <c r="S148" s="31" t="s">
        <v>65</v>
      </c>
      <c r="T148" s="31" t="s">
        <v>58</v>
      </c>
      <c r="U148" s="31" t="s">
        <v>58</v>
      </c>
      <c r="V148" s="30">
        <v>46042</v>
      </c>
      <c r="W148" s="34">
        <v>0.33333333333333331</v>
      </c>
      <c r="X148" s="34">
        <v>0.41666666666666669</v>
      </c>
      <c r="Y148" s="31"/>
    </row>
    <row r="149" spans="1:25" ht="12.75" x14ac:dyDescent="0.2">
      <c r="A149" s="30">
        <v>46042</v>
      </c>
      <c r="B149" s="31" t="s">
        <v>67</v>
      </c>
      <c r="C149" s="31">
        <v>1</v>
      </c>
      <c r="D149" s="31" t="s">
        <v>60</v>
      </c>
      <c r="E149" s="31" t="s">
        <v>168</v>
      </c>
      <c r="F149" s="48">
        <v>17817816</v>
      </c>
      <c r="G149" s="48">
        <v>23946270</v>
      </c>
      <c r="H149" s="31" t="s">
        <v>83</v>
      </c>
      <c r="I149" s="31">
        <v>52</v>
      </c>
      <c r="J149" s="31" t="s">
        <v>50</v>
      </c>
      <c r="K149" s="31" t="s">
        <v>53</v>
      </c>
      <c r="L149" s="31" t="s">
        <v>58</v>
      </c>
      <c r="M149" s="31" t="s">
        <v>54</v>
      </c>
      <c r="N149" s="31" t="s">
        <v>84</v>
      </c>
      <c r="O149" s="31" t="s">
        <v>56</v>
      </c>
      <c r="P149" s="31" t="s">
        <v>81</v>
      </c>
      <c r="Q149" s="31">
        <v>52601</v>
      </c>
      <c r="R149" s="31" t="s">
        <v>57</v>
      </c>
      <c r="S149" s="31" t="s">
        <v>65</v>
      </c>
      <c r="T149" s="31" t="s">
        <v>58</v>
      </c>
      <c r="U149" s="31" t="s">
        <v>58</v>
      </c>
      <c r="V149" s="30">
        <v>46042</v>
      </c>
      <c r="W149" s="34">
        <v>0.4375</v>
      </c>
      <c r="X149" s="34">
        <v>0.53819444444444442</v>
      </c>
      <c r="Y149" s="31"/>
    </row>
    <row r="150" spans="1:25" ht="12.75" x14ac:dyDescent="0.2">
      <c r="A150" s="30">
        <v>46042</v>
      </c>
      <c r="B150" s="31" t="s">
        <v>127</v>
      </c>
      <c r="C150" s="31">
        <v>1</v>
      </c>
      <c r="D150" s="31" t="s">
        <v>60</v>
      </c>
      <c r="E150" s="31" t="s">
        <v>240</v>
      </c>
      <c r="F150" s="48">
        <v>18160488</v>
      </c>
      <c r="G150" s="31">
        <v>401141</v>
      </c>
      <c r="H150" s="31" t="s">
        <v>52</v>
      </c>
      <c r="I150" s="31">
        <v>73</v>
      </c>
      <c r="J150" s="31" t="s">
        <v>50</v>
      </c>
      <c r="K150" s="31" t="s">
        <v>58</v>
      </c>
      <c r="L150" s="31" t="s">
        <v>54</v>
      </c>
      <c r="M150" s="31" t="s">
        <v>54</v>
      </c>
      <c r="N150" s="31" t="s">
        <v>109</v>
      </c>
      <c r="O150" s="31" t="s">
        <v>56</v>
      </c>
      <c r="P150" s="31" t="s">
        <v>81</v>
      </c>
      <c r="Q150" s="31">
        <v>47562</v>
      </c>
      <c r="R150" s="31" t="s">
        <v>57</v>
      </c>
      <c r="S150" s="31" t="s">
        <v>57</v>
      </c>
      <c r="T150" s="31" t="s">
        <v>66</v>
      </c>
      <c r="U150" s="31" t="s">
        <v>58</v>
      </c>
      <c r="V150" s="30">
        <v>46042</v>
      </c>
      <c r="W150" s="34">
        <v>0</v>
      </c>
      <c r="X150" s="34">
        <v>0.125</v>
      </c>
      <c r="Y150" s="31"/>
    </row>
    <row r="151" spans="1:25" ht="12.75" x14ac:dyDescent="0.2">
      <c r="A151" s="30">
        <v>46043</v>
      </c>
      <c r="B151" s="31" t="s">
        <v>50</v>
      </c>
      <c r="C151" s="31">
        <v>1</v>
      </c>
      <c r="D151" s="31" t="s">
        <v>60</v>
      </c>
      <c r="E151" s="31" t="s">
        <v>61</v>
      </c>
      <c r="F151" s="48">
        <v>21523144</v>
      </c>
      <c r="G151" s="31">
        <v>61807519</v>
      </c>
      <c r="H151" s="31" t="s">
        <v>62</v>
      </c>
      <c r="I151" s="31">
        <v>18</v>
      </c>
      <c r="J151" s="31" t="s">
        <v>50</v>
      </c>
      <c r="K151" s="31" t="s">
        <v>63</v>
      </c>
      <c r="L151" s="31" t="s">
        <v>54</v>
      </c>
      <c r="M151" s="31" t="s">
        <v>54</v>
      </c>
      <c r="N151" s="31" t="s">
        <v>64</v>
      </c>
      <c r="O151" s="31" t="s">
        <v>56</v>
      </c>
      <c r="P151" s="31" t="s">
        <v>50</v>
      </c>
      <c r="Q151" s="31">
        <v>90874</v>
      </c>
      <c r="R151" s="31" t="s">
        <v>57</v>
      </c>
      <c r="S151" s="31" t="s">
        <v>65</v>
      </c>
      <c r="T151" s="31" t="s">
        <v>66</v>
      </c>
      <c r="U151" s="31" t="s">
        <v>58</v>
      </c>
      <c r="V151" s="30">
        <v>46043</v>
      </c>
      <c r="W151" s="34">
        <v>0.33333333333333331</v>
      </c>
      <c r="X151" s="34">
        <v>0.3611111111111111</v>
      </c>
      <c r="Y151" s="31"/>
    </row>
    <row r="152" spans="1:25" ht="12.75" x14ac:dyDescent="0.2">
      <c r="A152" s="30">
        <v>46043</v>
      </c>
      <c r="B152" s="31" t="s">
        <v>50</v>
      </c>
      <c r="C152" s="31">
        <v>1</v>
      </c>
      <c r="D152" s="31" t="s">
        <v>60</v>
      </c>
      <c r="E152" s="31" t="s">
        <v>61</v>
      </c>
      <c r="F152" s="48">
        <v>21523144</v>
      </c>
      <c r="G152" s="31">
        <v>9145142</v>
      </c>
      <c r="H152" s="31" t="s">
        <v>62</v>
      </c>
      <c r="I152" s="31">
        <v>59</v>
      </c>
      <c r="J152" s="31" t="s">
        <v>63</v>
      </c>
      <c r="K152" s="31" t="s">
        <v>63</v>
      </c>
      <c r="L152" s="31" t="s">
        <v>54</v>
      </c>
      <c r="M152" s="31" t="s">
        <v>54</v>
      </c>
      <c r="N152" s="31" t="s">
        <v>64</v>
      </c>
      <c r="O152" s="31" t="s">
        <v>56</v>
      </c>
      <c r="P152" s="31" t="s">
        <v>50</v>
      </c>
      <c r="Q152" s="31">
        <v>90874</v>
      </c>
      <c r="R152" s="31" t="s">
        <v>57</v>
      </c>
      <c r="S152" s="31" t="s">
        <v>65</v>
      </c>
      <c r="T152" s="31" t="s">
        <v>66</v>
      </c>
      <c r="U152" s="31" t="s">
        <v>58</v>
      </c>
      <c r="V152" s="30">
        <v>46043</v>
      </c>
      <c r="W152" s="34">
        <v>0.36805555555555558</v>
      </c>
      <c r="X152" s="34">
        <v>0.40277777777777779</v>
      </c>
      <c r="Y152" s="31"/>
    </row>
    <row r="153" spans="1:25" ht="12.75" x14ac:dyDescent="0.2">
      <c r="A153" s="30">
        <v>46043</v>
      </c>
      <c r="B153" s="31" t="s">
        <v>50</v>
      </c>
      <c r="C153" s="31">
        <v>1</v>
      </c>
      <c r="D153" s="31" t="s">
        <v>60</v>
      </c>
      <c r="E153" s="31" t="s">
        <v>176</v>
      </c>
      <c r="F153" s="48">
        <v>21523144</v>
      </c>
      <c r="G153" s="31">
        <v>10882673</v>
      </c>
      <c r="H153" s="31" t="s">
        <v>177</v>
      </c>
      <c r="I153" s="31">
        <v>49</v>
      </c>
      <c r="J153" s="31" t="s">
        <v>50</v>
      </c>
      <c r="K153" s="31" t="s">
        <v>58</v>
      </c>
      <c r="L153" s="31" t="s">
        <v>58</v>
      </c>
      <c r="M153" s="31" t="s">
        <v>57</v>
      </c>
      <c r="N153" s="31" t="s">
        <v>64</v>
      </c>
      <c r="O153" s="31" t="s">
        <v>56</v>
      </c>
      <c r="P153" s="31" t="s">
        <v>50</v>
      </c>
      <c r="Q153" s="31">
        <v>90874</v>
      </c>
      <c r="R153" s="31" t="s">
        <v>57</v>
      </c>
      <c r="S153" s="31" t="s">
        <v>65</v>
      </c>
      <c r="T153" s="31" t="s">
        <v>66</v>
      </c>
      <c r="U153" s="31" t="s">
        <v>58</v>
      </c>
      <c r="V153" s="30">
        <v>46043</v>
      </c>
      <c r="W153" s="34">
        <v>0.40972222222222221</v>
      </c>
      <c r="X153" s="34">
        <v>0.4375</v>
      </c>
      <c r="Y153" s="31"/>
    </row>
    <row r="154" spans="1:25" ht="12.75" x14ac:dyDescent="0.2">
      <c r="A154" s="30">
        <v>46043</v>
      </c>
      <c r="B154" s="31" t="s">
        <v>50</v>
      </c>
      <c r="C154" s="31">
        <v>1</v>
      </c>
      <c r="D154" s="31" t="s">
        <v>60</v>
      </c>
      <c r="E154" s="31" t="s">
        <v>176</v>
      </c>
      <c r="F154" s="31">
        <v>21523144</v>
      </c>
      <c r="G154" s="31">
        <v>9351076</v>
      </c>
      <c r="H154" s="31" t="s">
        <v>177</v>
      </c>
      <c r="I154" s="31">
        <v>68</v>
      </c>
      <c r="J154" s="31" t="s">
        <v>50</v>
      </c>
      <c r="K154" s="31" t="s">
        <v>63</v>
      </c>
      <c r="L154" s="31" t="s">
        <v>54</v>
      </c>
      <c r="M154" s="31" t="s">
        <v>54</v>
      </c>
      <c r="N154" s="31" t="s">
        <v>64</v>
      </c>
      <c r="O154" s="31" t="s">
        <v>56</v>
      </c>
      <c r="P154" s="31" t="s">
        <v>50</v>
      </c>
      <c r="Q154" s="31">
        <v>90874</v>
      </c>
      <c r="R154" s="31" t="s">
        <v>57</v>
      </c>
      <c r="S154" s="31" t="s">
        <v>65</v>
      </c>
      <c r="T154" s="31" t="s">
        <v>66</v>
      </c>
      <c r="U154" s="31" t="s">
        <v>58</v>
      </c>
      <c r="V154" s="30">
        <v>46043</v>
      </c>
      <c r="W154" s="34">
        <v>0.45833333333333331</v>
      </c>
      <c r="X154" s="34">
        <v>0.4861111111111111</v>
      </c>
      <c r="Y154" s="31"/>
    </row>
    <row r="155" spans="1:25" ht="12.75" x14ac:dyDescent="0.2">
      <c r="A155" s="30">
        <v>46043</v>
      </c>
      <c r="B155" s="31" t="s">
        <v>50</v>
      </c>
      <c r="C155" s="31">
        <v>1</v>
      </c>
      <c r="D155" s="31" t="s">
        <v>60</v>
      </c>
      <c r="E155" s="31" t="s">
        <v>233</v>
      </c>
      <c r="F155" s="48">
        <v>10318518</v>
      </c>
      <c r="G155" s="31" t="s">
        <v>241</v>
      </c>
      <c r="H155" s="31" t="s">
        <v>125</v>
      </c>
      <c r="I155" s="31">
        <v>69</v>
      </c>
      <c r="J155" s="31" t="s">
        <v>63</v>
      </c>
      <c r="K155" s="31" t="s">
        <v>63</v>
      </c>
      <c r="L155" s="31" t="s">
        <v>54</v>
      </c>
      <c r="M155" s="31" t="s">
        <v>54</v>
      </c>
      <c r="N155" s="31" t="s">
        <v>126</v>
      </c>
      <c r="O155" s="31" t="s">
        <v>56</v>
      </c>
      <c r="P155" s="31" t="s">
        <v>81</v>
      </c>
      <c r="Q155" s="31">
        <v>66820</v>
      </c>
      <c r="R155" s="31" t="s">
        <v>57</v>
      </c>
      <c r="S155" s="31" t="s">
        <v>65</v>
      </c>
      <c r="T155" s="31" t="s">
        <v>66</v>
      </c>
      <c r="U155" s="31" t="s">
        <v>58</v>
      </c>
      <c r="V155" s="30">
        <v>46043</v>
      </c>
      <c r="W155" s="34">
        <v>0.33333333333333331</v>
      </c>
      <c r="X155" s="34">
        <v>0.375</v>
      </c>
      <c r="Y155" s="31"/>
    </row>
    <row r="156" spans="1:25" ht="12.75" x14ac:dyDescent="0.2">
      <c r="A156" s="30">
        <v>46043</v>
      </c>
      <c r="B156" s="31" t="s">
        <v>50</v>
      </c>
      <c r="C156" s="31">
        <v>1</v>
      </c>
      <c r="D156" s="31" t="s">
        <v>60</v>
      </c>
      <c r="E156" s="31" t="s">
        <v>233</v>
      </c>
      <c r="F156" s="48">
        <v>10318518</v>
      </c>
      <c r="G156" s="31" t="s">
        <v>242</v>
      </c>
      <c r="H156" s="31" t="s">
        <v>125</v>
      </c>
      <c r="I156" s="31">
        <v>82</v>
      </c>
      <c r="J156" s="31" t="s">
        <v>63</v>
      </c>
      <c r="K156" s="31" t="s">
        <v>63</v>
      </c>
      <c r="L156" s="31" t="s">
        <v>54</v>
      </c>
      <c r="M156" s="31" t="s">
        <v>54</v>
      </c>
      <c r="N156" s="31" t="s">
        <v>243</v>
      </c>
      <c r="O156" s="31" t="s">
        <v>56</v>
      </c>
      <c r="P156" s="31" t="s">
        <v>81</v>
      </c>
      <c r="Q156" s="31">
        <v>66170</v>
      </c>
      <c r="R156" s="31" t="s">
        <v>57</v>
      </c>
      <c r="S156" s="31" t="s">
        <v>65</v>
      </c>
      <c r="T156" s="31" t="s">
        <v>66</v>
      </c>
      <c r="U156" s="31" t="s">
        <v>58</v>
      </c>
      <c r="V156" s="30">
        <v>46043</v>
      </c>
      <c r="W156" s="34">
        <v>0.375</v>
      </c>
      <c r="X156" s="34">
        <v>0.41666666666666669</v>
      </c>
      <c r="Y156" s="31"/>
    </row>
    <row r="157" spans="1:25" ht="12.75" x14ac:dyDescent="0.2">
      <c r="A157" s="30">
        <v>46043</v>
      </c>
      <c r="B157" s="31" t="s">
        <v>59</v>
      </c>
      <c r="C157" s="31">
        <v>1</v>
      </c>
      <c r="D157" s="31" t="s">
        <v>60</v>
      </c>
      <c r="E157" s="31" t="s">
        <v>244</v>
      </c>
      <c r="F157" s="48">
        <v>45141992</v>
      </c>
      <c r="G157" s="31">
        <v>16687351</v>
      </c>
      <c r="H157" s="31" t="s">
        <v>52</v>
      </c>
      <c r="I157" s="31">
        <v>60</v>
      </c>
      <c r="J157" s="31" t="s">
        <v>50</v>
      </c>
      <c r="K157" s="31" t="s">
        <v>70</v>
      </c>
      <c r="L157" s="31" t="s">
        <v>58</v>
      </c>
      <c r="M157" s="31" t="s">
        <v>54</v>
      </c>
      <c r="N157" s="31" t="s">
        <v>109</v>
      </c>
      <c r="O157" s="31" t="s">
        <v>56</v>
      </c>
      <c r="P157" s="31" t="s">
        <v>81</v>
      </c>
      <c r="Q157" s="31">
        <v>47562</v>
      </c>
      <c r="R157" s="31" t="s">
        <v>57</v>
      </c>
      <c r="S157" s="31" t="s">
        <v>65</v>
      </c>
      <c r="T157" s="31" t="s">
        <v>58</v>
      </c>
      <c r="U157" s="31" t="s">
        <v>58</v>
      </c>
      <c r="V157" s="30">
        <v>46043</v>
      </c>
      <c r="W157" s="34">
        <v>0.35416666666666669</v>
      </c>
      <c r="X157" s="34">
        <v>0.45833333333333331</v>
      </c>
      <c r="Y157" s="31"/>
    </row>
    <row r="158" spans="1:25" ht="12.75" x14ac:dyDescent="0.2">
      <c r="A158" s="30">
        <v>46043</v>
      </c>
      <c r="B158" s="31" t="s">
        <v>67</v>
      </c>
      <c r="C158" s="31">
        <v>1</v>
      </c>
      <c r="D158" s="31" t="s">
        <v>60</v>
      </c>
      <c r="E158" s="31" t="s">
        <v>108</v>
      </c>
      <c r="F158" s="31">
        <v>25542321</v>
      </c>
      <c r="G158" s="31">
        <v>8782831</v>
      </c>
      <c r="H158" s="31" t="s">
        <v>52</v>
      </c>
      <c r="I158" s="31">
        <v>73</v>
      </c>
      <c r="J158" s="31" t="s">
        <v>63</v>
      </c>
      <c r="K158" s="31" t="s">
        <v>63</v>
      </c>
      <c r="L158" s="31" t="s">
        <v>54</v>
      </c>
      <c r="M158" s="31" t="s">
        <v>54</v>
      </c>
      <c r="N158" s="31" t="s">
        <v>245</v>
      </c>
      <c r="O158" s="31" t="s">
        <v>56</v>
      </c>
      <c r="P158" s="31" t="s">
        <v>81</v>
      </c>
      <c r="Q158" s="31">
        <v>49659</v>
      </c>
      <c r="R158" s="31" t="s">
        <v>57</v>
      </c>
      <c r="S158" s="31" t="s">
        <v>65</v>
      </c>
      <c r="T158" s="31" t="s">
        <v>58</v>
      </c>
      <c r="U158" s="31" t="s">
        <v>58</v>
      </c>
      <c r="V158" s="30">
        <v>46043</v>
      </c>
      <c r="W158" s="34">
        <v>0.47916666666666669</v>
      </c>
      <c r="X158" s="34">
        <v>0.58333333333333337</v>
      </c>
      <c r="Y158" s="31"/>
    </row>
    <row r="159" spans="1:25" ht="12.75" x14ac:dyDescent="0.2">
      <c r="A159" s="30">
        <v>46043</v>
      </c>
      <c r="B159" s="31" t="s">
        <v>59</v>
      </c>
      <c r="C159" s="31">
        <v>1</v>
      </c>
      <c r="D159" s="31" t="s">
        <v>60</v>
      </c>
      <c r="E159" s="31" t="s">
        <v>94</v>
      </c>
      <c r="F159" s="31" t="s">
        <v>95</v>
      </c>
      <c r="G159" s="48">
        <v>45085776</v>
      </c>
      <c r="H159" s="31" t="s">
        <v>73</v>
      </c>
      <c r="I159" s="31">
        <v>36</v>
      </c>
      <c r="J159" s="31" t="s">
        <v>50</v>
      </c>
      <c r="K159" s="31" t="s">
        <v>70</v>
      </c>
      <c r="L159" s="31" t="s">
        <v>54</v>
      </c>
      <c r="M159" s="31" t="s">
        <v>54</v>
      </c>
      <c r="N159" s="31" t="s">
        <v>96</v>
      </c>
      <c r="O159" s="31" t="s">
        <v>56</v>
      </c>
      <c r="P159" s="31" t="s">
        <v>81</v>
      </c>
      <c r="Q159" s="31">
        <v>29870</v>
      </c>
      <c r="R159" s="31" t="s">
        <v>57</v>
      </c>
      <c r="S159" s="31" t="s">
        <v>65</v>
      </c>
      <c r="T159" s="31" t="s">
        <v>58</v>
      </c>
      <c r="U159" s="31" t="s">
        <v>58</v>
      </c>
      <c r="V159" s="30">
        <v>46043</v>
      </c>
      <c r="W159" s="34">
        <v>0.34027777777777779</v>
      </c>
      <c r="X159" s="34">
        <v>0.42708333333333331</v>
      </c>
      <c r="Y159" s="31"/>
    </row>
    <row r="160" spans="1:25" ht="12.75" x14ac:dyDescent="0.2">
      <c r="A160" s="30">
        <v>46043</v>
      </c>
      <c r="B160" s="31" t="s">
        <v>67</v>
      </c>
      <c r="C160" s="31">
        <v>1</v>
      </c>
      <c r="D160" s="31" t="s">
        <v>60</v>
      </c>
      <c r="E160" s="31" t="s">
        <v>94</v>
      </c>
      <c r="F160" s="48" t="s">
        <v>95</v>
      </c>
      <c r="G160" s="48" t="s">
        <v>246</v>
      </c>
      <c r="H160" s="31" t="s">
        <v>73</v>
      </c>
      <c r="I160" s="31">
        <v>31</v>
      </c>
      <c r="J160" s="31" t="s">
        <v>50</v>
      </c>
      <c r="K160" s="31" t="s">
        <v>70</v>
      </c>
      <c r="L160" s="31" t="s">
        <v>54</v>
      </c>
      <c r="M160" s="31" t="s">
        <v>54</v>
      </c>
      <c r="N160" s="31" t="s">
        <v>247</v>
      </c>
      <c r="O160" s="31" t="s">
        <v>56</v>
      </c>
      <c r="P160" s="31" t="s">
        <v>81</v>
      </c>
      <c r="Q160" s="31">
        <v>29870</v>
      </c>
      <c r="R160" s="31" t="s">
        <v>57</v>
      </c>
      <c r="S160" s="31" t="s">
        <v>65</v>
      </c>
      <c r="T160" s="31" t="s">
        <v>58</v>
      </c>
      <c r="U160" s="31" t="s">
        <v>58</v>
      </c>
      <c r="V160" s="30">
        <v>46043</v>
      </c>
      <c r="W160" s="34">
        <v>0.44791666666666669</v>
      </c>
      <c r="X160" s="34">
        <v>0.59375</v>
      </c>
      <c r="Y160" s="31"/>
    </row>
    <row r="161" spans="1:25" ht="12.75" x14ac:dyDescent="0.2">
      <c r="A161" s="30">
        <v>46043</v>
      </c>
      <c r="B161" s="31" t="s">
        <v>69</v>
      </c>
      <c r="C161" s="31">
        <v>1</v>
      </c>
      <c r="D161" s="31" t="s">
        <v>50</v>
      </c>
      <c r="E161" s="31" t="s">
        <v>98</v>
      </c>
      <c r="F161" s="48">
        <v>44897100</v>
      </c>
      <c r="G161" s="31">
        <v>45397405</v>
      </c>
      <c r="H161" s="31" t="s">
        <v>73</v>
      </c>
      <c r="I161" s="31">
        <v>38</v>
      </c>
      <c r="J161" s="31" t="s">
        <v>50</v>
      </c>
      <c r="K161" s="31" t="s">
        <v>81</v>
      </c>
      <c r="L161" s="31" t="s">
        <v>54</v>
      </c>
      <c r="M161" s="31" t="s">
        <v>54</v>
      </c>
      <c r="N161" s="31" t="s">
        <v>77</v>
      </c>
      <c r="O161" s="31" t="s">
        <v>56</v>
      </c>
      <c r="P161" s="31" t="s">
        <v>81</v>
      </c>
      <c r="Q161" s="31">
        <v>26600</v>
      </c>
      <c r="R161" s="31" t="s">
        <v>57</v>
      </c>
      <c r="S161" s="31" t="s">
        <v>65</v>
      </c>
      <c r="T161" s="31" t="s">
        <v>58</v>
      </c>
      <c r="U161" s="31" t="s">
        <v>58</v>
      </c>
      <c r="V161" s="30">
        <v>46043</v>
      </c>
      <c r="W161" s="34">
        <v>0.64236111111111116</v>
      </c>
      <c r="X161" s="34">
        <v>0.77083333333333337</v>
      </c>
      <c r="Y161" s="31"/>
    </row>
    <row r="162" spans="1:25" ht="12.75" x14ac:dyDescent="0.2">
      <c r="A162" s="30">
        <v>46043</v>
      </c>
      <c r="B162" s="31" t="s">
        <v>59</v>
      </c>
      <c r="C162" s="31">
        <v>1</v>
      </c>
      <c r="D162" s="31" t="s">
        <v>50</v>
      </c>
      <c r="E162" s="31" t="s">
        <v>248</v>
      </c>
      <c r="F162" s="48">
        <v>18174346</v>
      </c>
      <c r="G162" s="31">
        <v>8570707</v>
      </c>
      <c r="H162" s="31" t="s">
        <v>115</v>
      </c>
      <c r="I162" s="31">
        <v>84</v>
      </c>
      <c r="J162" s="31" t="s">
        <v>50</v>
      </c>
      <c r="K162" s="31" t="s">
        <v>63</v>
      </c>
      <c r="L162" s="31" t="s">
        <v>54</v>
      </c>
      <c r="M162" s="31" t="s">
        <v>54</v>
      </c>
      <c r="N162" s="31" t="s">
        <v>107</v>
      </c>
      <c r="O162" s="31" t="s">
        <v>56</v>
      </c>
      <c r="P162" s="31" t="s">
        <v>81</v>
      </c>
      <c r="Q162" s="31">
        <v>37247</v>
      </c>
      <c r="R162" s="31"/>
      <c r="S162" s="31" t="s">
        <v>65</v>
      </c>
      <c r="T162" s="31"/>
      <c r="U162" s="31" t="s">
        <v>70</v>
      </c>
      <c r="V162" s="30">
        <v>46043</v>
      </c>
      <c r="W162" s="34"/>
      <c r="X162" s="34"/>
      <c r="Y162" s="31"/>
    </row>
    <row r="163" spans="1:25" ht="12.75" x14ac:dyDescent="0.2">
      <c r="A163" s="30">
        <v>46043</v>
      </c>
      <c r="B163" s="31" t="s">
        <v>59</v>
      </c>
      <c r="C163" s="31">
        <v>1</v>
      </c>
      <c r="D163" s="31" t="s">
        <v>50</v>
      </c>
      <c r="E163" s="31" t="s">
        <v>78</v>
      </c>
      <c r="F163" s="31">
        <v>43403659</v>
      </c>
      <c r="G163" s="31">
        <v>74480511</v>
      </c>
      <c r="H163" s="31" t="s">
        <v>224</v>
      </c>
      <c r="I163" s="31">
        <v>26</v>
      </c>
      <c r="J163" s="31" t="s">
        <v>50</v>
      </c>
      <c r="K163" s="31" t="s">
        <v>58</v>
      </c>
      <c r="L163" s="31" t="s">
        <v>76</v>
      </c>
      <c r="M163" s="31" t="s">
        <v>54</v>
      </c>
      <c r="N163" s="31" t="s">
        <v>80</v>
      </c>
      <c r="O163" s="31" t="s">
        <v>56</v>
      </c>
      <c r="P163" s="31" t="s">
        <v>81</v>
      </c>
      <c r="Q163" s="31">
        <v>30520</v>
      </c>
      <c r="R163" s="31" t="s">
        <v>57</v>
      </c>
      <c r="S163" s="31" t="s">
        <v>65</v>
      </c>
      <c r="T163" s="31" t="s">
        <v>66</v>
      </c>
      <c r="U163" s="31" t="s">
        <v>58</v>
      </c>
      <c r="V163" s="30">
        <v>46043</v>
      </c>
      <c r="W163" s="34">
        <v>0.35416666666666669</v>
      </c>
      <c r="X163" s="34">
        <v>0.4548611111111111</v>
      </c>
      <c r="Y163" s="31"/>
    </row>
    <row r="164" spans="1:25" ht="12.75" x14ac:dyDescent="0.2">
      <c r="A164" s="30">
        <v>46043</v>
      </c>
      <c r="B164" s="31" t="s">
        <v>67</v>
      </c>
      <c r="C164" s="31">
        <v>1</v>
      </c>
      <c r="D164" s="31" t="s">
        <v>50</v>
      </c>
      <c r="E164" s="31" t="s">
        <v>249</v>
      </c>
      <c r="F164" s="31">
        <v>43403659</v>
      </c>
      <c r="G164" s="31">
        <v>70718510</v>
      </c>
      <c r="H164" s="31" t="s">
        <v>79</v>
      </c>
      <c r="I164" s="31">
        <v>18</v>
      </c>
      <c r="J164" s="31" t="s">
        <v>50</v>
      </c>
      <c r="K164" s="31" t="s">
        <v>58</v>
      </c>
      <c r="L164" s="31" t="s">
        <v>76</v>
      </c>
      <c r="M164" s="31" t="s">
        <v>54</v>
      </c>
      <c r="N164" s="31" t="s">
        <v>80</v>
      </c>
      <c r="O164" s="31" t="s">
        <v>56</v>
      </c>
      <c r="P164" s="31" t="s">
        <v>81</v>
      </c>
      <c r="Q164" s="31">
        <v>30520</v>
      </c>
      <c r="R164" s="31" t="s">
        <v>57</v>
      </c>
      <c r="S164" s="31" t="s">
        <v>65</v>
      </c>
      <c r="T164" s="31" t="s">
        <v>66</v>
      </c>
      <c r="U164" s="31" t="s">
        <v>58</v>
      </c>
      <c r="V164" s="30">
        <v>46043</v>
      </c>
      <c r="W164" s="34">
        <v>0.46527777777777779</v>
      </c>
      <c r="X164" s="34">
        <v>0.57291666666666663</v>
      </c>
      <c r="Y164" s="31"/>
    </row>
    <row r="165" spans="1:25" ht="12.75" x14ac:dyDescent="0.2">
      <c r="A165" s="30">
        <v>46042</v>
      </c>
      <c r="B165" s="31" t="s">
        <v>127</v>
      </c>
      <c r="C165" s="31">
        <v>1</v>
      </c>
      <c r="D165" s="31" t="s">
        <v>60</v>
      </c>
      <c r="E165" s="31" t="s">
        <v>193</v>
      </c>
      <c r="F165" s="31">
        <v>18086988</v>
      </c>
      <c r="G165" s="31">
        <v>45768058</v>
      </c>
      <c r="H165" s="31" t="s">
        <v>250</v>
      </c>
      <c r="I165" s="31">
        <v>36</v>
      </c>
      <c r="J165" s="31" t="s">
        <v>50</v>
      </c>
      <c r="K165" s="31" t="s">
        <v>63</v>
      </c>
      <c r="L165" s="31" t="s">
        <v>54</v>
      </c>
      <c r="M165" s="31" t="s">
        <v>54</v>
      </c>
      <c r="N165" s="31" t="s">
        <v>251</v>
      </c>
      <c r="O165" s="31" t="s">
        <v>56</v>
      </c>
      <c r="P165" s="31" t="s">
        <v>81</v>
      </c>
      <c r="Q165" s="31">
        <v>58120</v>
      </c>
      <c r="R165" s="31" t="s">
        <v>57</v>
      </c>
      <c r="S165" s="31" t="s">
        <v>57</v>
      </c>
      <c r="T165" s="31" t="s">
        <v>58</v>
      </c>
      <c r="U165" s="31" t="s">
        <v>58</v>
      </c>
      <c r="V165" s="30">
        <v>46042</v>
      </c>
      <c r="W165" s="34">
        <v>0.91666666666666663</v>
      </c>
      <c r="X165" s="34">
        <v>0.9375</v>
      </c>
      <c r="Y165" s="31"/>
    </row>
    <row r="166" spans="1:25" ht="12.75" x14ac:dyDescent="0.2">
      <c r="A166" s="30">
        <v>46043</v>
      </c>
      <c r="B166" s="31" t="s">
        <v>127</v>
      </c>
      <c r="C166" s="31">
        <v>1</v>
      </c>
      <c r="D166" s="31" t="s">
        <v>50</v>
      </c>
      <c r="E166" s="31" t="s">
        <v>252</v>
      </c>
      <c r="F166" s="48">
        <v>45782157</v>
      </c>
      <c r="G166" s="31">
        <v>20064582</v>
      </c>
      <c r="H166" s="31" t="s">
        <v>52</v>
      </c>
      <c r="I166" s="31">
        <v>4</v>
      </c>
      <c r="J166" s="31" t="s">
        <v>50</v>
      </c>
      <c r="K166" s="31" t="s">
        <v>103</v>
      </c>
      <c r="L166" s="31" t="s">
        <v>76</v>
      </c>
      <c r="M166" s="31" t="s">
        <v>54</v>
      </c>
      <c r="N166" s="31" t="s">
        <v>113</v>
      </c>
      <c r="O166" s="31" t="s">
        <v>56</v>
      </c>
      <c r="P166" s="31" t="s">
        <v>81</v>
      </c>
      <c r="Q166" s="31">
        <v>44970</v>
      </c>
      <c r="R166" s="31" t="s">
        <v>57</v>
      </c>
      <c r="S166" s="31" t="s">
        <v>57</v>
      </c>
      <c r="T166" s="31" t="s">
        <v>58</v>
      </c>
      <c r="U166" s="31" t="s">
        <v>58</v>
      </c>
      <c r="V166" s="30">
        <v>46043</v>
      </c>
      <c r="W166" s="34">
        <v>0.125</v>
      </c>
      <c r="X166" s="34">
        <v>0.22916666666666666</v>
      </c>
      <c r="Y166" s="31"/>
    </row>
    <row r="167" spans="1:25" ht="12.75" x14ac:dyDescent="0.2">
      <c r="A167" s="30">
        <v>46043</v>
      </c>
      <c r="B167" s="31" t="s">
        <v>127</v>
      </c>
      <c r="C167" s="31">
        <v>1</v>
      </c>
      <c r="D167" s="31" t="s">
        <v>50</v>
      </c>
      <c r="E167" s="31" t="s">
        <v>252</v>
      </c>
      <c r="F167" s="31">
        <v>45782157</v>
      </c>
      <c r="G167" s="31">
        <v>77209257</v>
      </c>
      <c r="H167" s="31" t="s">
        <v>52</v>
      </c>
      <c r="I167" s="31">
        <v>22</v>
      </c>
      <c r="J167" s="31" t="s">
        <v>50</v>
      </c>
      <c r="K167" s="31" t="s">
        <v>103</v>
      </c>
      <c r="L167" s="31" t="s">
        <v>76</v>
      </c>
      <c r="M167" s="31" t="s">
        <v>54</v>
      </c>
      <c r="N167" s="31" t="s">
        <v>113</v>
      </c>
      <c r="O167" s="31" t="s">
        <v>56</v>
      </c>
      <c r="P167" s="31" t="s">
        <v>81</v>
      </c>
      <c r="Q167" s="31">
        <v>44970</v>
      </c>
      <c r="R167" s="31" t="s">
        <v>57</v>
      </c>
      <c r="S167" s="31" t="s">
        <v>57</v>
      </c>
      <c r="T167" s="31" t="s">
        <v>58</v>
      </c>
      <c r="U167" s="31" t="s">
        <v>58</v>
      </c>
      <c r="V167" s="30">
        <v>46043</v>
      </c>
      <c r="W167" s="34">
        <v>0.25</v>
      </c>
      <c r="X167" s="34">
        <v>0.35416666666666669</v>
      </c>
      <c r="Y167" s="31"/>
    </row>
    <row r="168" spans="1:25" ht="12.75" x14ac:dyDescent="0.2">
      <c r="A168" s="30">
        <v>46044</v>
      </c>
      <c r="B168" s="31" t="s">
        <v>59</v>
      </c>
      <c r="C168" s="31">
        <v>1</v>
      </c>
      <c r="D168" s="31" t="s">
        <v>60</v>
      </c>
      <c r="E168" s="31" t="s">
        <v>187</v>
      </c>
      <c r="F168" s="48">
        <v>6289238</v>
      </c>
      <c r="G168" s="31">
        <v>9584573</v>
      </c>
      <c r="H168" s="31" t="s">
        <v>188</v>
      </c>
      <c r="I168" s="31">
        <v>90</v>
      </c>
      <c r="J168" s="31" t="s">
        <v>50</v>
      </c>
      <c r="K168" s="31" t="s">
        <v>103</v>
      </c>
      <c r="L168" s="31" t="s">
        <v>54</v>
      </c>
      <c r="M168" s="31" t="s">
        <v>54</v>
      </c>
      <c r="N168" s="31" t="s">
        <v>253</v>
      </c>
      <c r="O168" s="31" t="s">
        <v>56</v>
      </c>
      <c r="P168" s="31" t="s">
        <v>254</v>
      </c>
      <c r="Q168" s="31">
        <v>11406</v>
      </c>
      <c r="R168" s="31" t="s">
        <v>57</v>
      </c>
      <c r="S168" s="31" t="s">
        <v>65</v>
      </c>
      <c r="T168" s="31" t="s">
        <v>58</v>
      </c>
      <c r="U168" s="31" t="s">
        <v>58</v>
      </c>
      <c r="V168" s="30">
        <v>46044</v>
      </c>
      <c r="W168" s="34">
        <v>0.33333333333333331</v>
      </c>
      <c r="X168" s="34">
        <v>0.4548611111111111</v>
      </c>
      <c r="Y168" s="31"/>
    </row>
    <row r="169" spans="1:25" ht="12.75" x14ac:dyDescent="0.2">
      <c r="A169" s="30">
        <v>46044</v>
      </c>
      <c r="B169" s="31" t="s">
        <v>67</v>
      </c>
      <c r="C169" s="31">
        <v>1</v>
      </c>
      <c r="D169" s="31" t="s">
        <v>60</v>
      </c>
      <c r="E169" s="31" t="s">
        <v>187</v>
      </c>
      <c r="F169" s="31">
        <v>6289238</v>
      </c>
      <c r="G169" s="31">
        <v>33576128</v>
      </c>
      <c r="H169" s="31" t="s">
        <v>255</v>
      </c>
      <c r="I169" s="31">
        <v>67</v>
      </c>
      <c r="J169" s="31" t="s">
        <v>63</v>
      </c>
      <c r="K169" s="31" t="s">
        <v>63</v>
      </c>
      <c r="L169" s="31" t="s">
        <v>54</v>
      </c>
      <c r="M169" s="31" t="s">
        <v>54</v>
      </c>
      <c r="N169" s="31" t="s">
        <v>253</v>
      </c>
      <c r="O169" s="31" t="s">
        <v>56</v>
      </c>
      <c r="P169" s="31" t="s">
        <v>254</v>
      </c>
      <c r="Q169" s="31">
        <v>11.406000000000001</v>
      </c>
      <c r="R169" s="31" t="s">
        <v>57</v>
      </c>
      <c r="S169" s="31" t="s">
        <v>65</v>
      </c>
      <c r="T169" s="31" t="s">
        <v>58</v>
      </c>
      <c r="U169" s="31" t="s">
        <v>58</v>
      </c>
      <c r="V169" s="30">
        <v>46044</v>
      </c>
      <c r="W169" s="34">
        <v>0.45833333333333331</v>
      </c>
      <c r="X169" s="34">
        <v>0.53819444444444442</v>
      </c>
      <c r="Y169" s="31"/>
    </row>
    <row r="170" spans="1:25" ht="12.75" x14ac:dyDescent="0.2">
      <c r="A170" s="30">
        <v>46044</v>
      </c>
      <c r="B170" s="31" t="s">
        <v>71</v>
      </c>
      <c r="C170" s="31">
        <v>1</v>
      </c>
      <c r="D170" s="31" t="s">
        <v>60</v>
      </c>
      <c r="E170" s="31" t="s">
        <v>101</v>
      </c>
      <c r="F170" s="31">
        <v>46041788</v>
      </c>
      <c r="G170" s="31">
        <v>9385599</v>
      </c>
      <c r="H170" s="31" t="s">
        <v>121</v>
      </c>
      <c r="I170" s="31">
        <v>89</v>
      </c>
      <c r="J170" s="31" t="s">
        <v>50</v>
      </c>
      <c r="K170" s="31" t="s">
        <v>53</v>
      </c>
      <c r="L170" s="31" t="s">
        <v>54</v>
      </c>
      <c r="M170" s="31" t="s">
        <v>54</v>
      </c>
      <c r="N170" s="31" t="s">
        <v>256</v>
      </c>
      <c r="O170" s="31" t="s">
        <v>56</v>
      </c>
      <c r="P170" s="31" t="s">
        <v>81</v>
      </c>
      <c r="Q170" s="31">
        <v>27134</v>
      </c>
      <c r="R170" s="31" t="s">
        <v>57</v>
      </c>
      <c r="S170" s="31" t="s">
        <v>65</v>
      </c>
      <c r="T170" s="31" t="s">
        <v>58</v>
      </c>
      <c r="U170" s="31" t="s">
        <v>58</v>
      </c>
      <c r="V170" s="30">
        <v>46044</v>
      </c>
      <c r="W170" s="34">
        <v>0.58333333333333337</v>
      </c>
      <c r="X170" s="34">
        <v>0.80555555555555558</v>
      </c>
      <c r="Y170" s="31"/>
    </row>
    <row r="171" spans="1:25" ht="12.75" x14ac:dyDescent="0.2">
      <c r="A171" s="30">
        <v>46044</v>
      </c>
      <c r="B171" s="31" t="s">
        <v>93</v>
      </c>
      <c r="C171" s="31">
        <v>1</v>
      </c>
      <c r="D171" s="31" t="s">
        <v>50</v>
      </c>
      <c r="E171" s="31" t="s">
        <v>87</v>
      </c>
      <c r="F171" s="31">
        <v>45125864</v>
      </c>
      <c r="G171" s="31">
        <v>19875919</v>
      </c>
      <c r="H171" s="31" t="s">
        <v>88</v>
      </c>
      <c r="I171" s="31">
        <v>74</v>
      </c>
      <c r="J171" s="31" t="s">
        <v>50</v>
      </c>
      <c r="K171" s="31" t="s">
        <v>53</v>
      </c>
      <c r="L171" s="31" t="s">
        <v>54</v>
      </c>
      <c r="M171" s="31" t="s">
        <v>54</v>
      </c>
      <c r="N171" s="31" t="s">
        <v>257</v>
      </c>
      <c r="O171" s="31" t="s">
        <v>56</v>
      </c>
      <c r="P171" s="31" t="s">
        <v>81</v>
      </c>
      <c r="Q171" s="31">
        <v>22855</v>
      </c>
      <c r="R171" s="31" t="s">
        <v>57</v>
      </c>
      <c r="S171" s="31" t="s">
        <v>65</v>
      </c>
      <c r="T171" s="31" t="s">
        <v>58</v>
      </c>
      <c r="U171" s="31" t="s">
        <v>58</v>
      </c>
      <c r="V171" s="30">
        <v>46044</v>
      </c>
      <c r="W171" s="34">
        <v>0.33333333333333331</v>
      </c>
      <c r="X171" s="34">
        <v>0.58333333333333337</v>
      </c>
      <c r="Y171" s="31"/>
    </row>
    <row r="172" spans="1:25" ht="12.75" x14ac:dyDescent="0.2">
      <c r="A172" s="30">
        <v>46044</v>
      </c>
      <c r="B172" s="31" t="s">
        <v>59</v>
      </c>
      <c r="C172" s="31">
        <v>1</v>
      </c>
      <c r="D172" s="31" t="s">
        <v>50</v>
      </c>
      <c r="E172" s="31" t="s">
        <v>119</v>
      </c>
      <c r="F172" s="31">
        <v>43267685</v>
      </c>
      <c r="G172" s="31" t="s">
        <v>258</v>
      </c>
      <c r="H172" s="31" t="s">
        <v>83</v>
      </c>
      <c r="I172" s="31">
        <v>80</v>
      </c>
      <c r="J172" s="31" t="s">
        <v>50</v>
      </c>
      <c r="K172" s="31" t="s">
        <v>63</v>
      </c>
      <c r="L172" s="31" t="s">
        <v>54</v>
      </c>
      <c r="M172" s="31" t="s">
        <v>54</v>
      </c>
      <c r="N172" s="31" t="s">
        <v>259</v>
      </c>
      <c r="O172" s="31" t="s">
        <v>56</v>
      </c>
      <c r="P172" s="31" t="s">
        <v>81</v>
      </c>
      <c r="Q172" s="31">
        <v>54530</v>
      </c>
      <c r="R172" s="31" t="s">
        <v>57</v>
      </c>
      <c r="S172" s="31" t="s">
        <v>65</v>
      </c>
      <c r="T172" s="31" t="s">
        <v>58</v>
      </c>
      <c r="U172" s="31" t="s">
        <v>58</v>
      </c>
      <c r="V172" s="30">
        <v>46044</v>
      </c>
      <c r="W172" s="34">
        <v>0.33333333333333331</v>
      </c>
      <c r="X172" s="34">
        <v>0.45833333333333331</v>
      </c>
      <c r="Y172" s="31"/>
    </row>
    <row r="173" spans="1:25" ht="12.75" x14ac:dyDescent="0.2">
      <c r="A173" s="30">
        <v>46044</v>
      </c>
      <c r="B173" s="31" t="s">
        <v>67</v>
      </c>
      <c r="C173" s="31">
        <v>1</v>
      </c>
      <c r="D173" s="31" t="s">
        <v>50</v>
      </c>
      <c r="E173" s="31" t="s">
        <v>237</v>
      </c>
      <c r="F173" s="31" t="s">
        <v>260</v>
      </c>
      <c r="G173" s="31">
        <v>44059255</v>
      </c>
      <c r="H173" s="31" t="s">
        <v>83</v>
      </c>
      <c r="I173" s="31">
        <v>72</v>
      </c>
      <c r="J173" s="31" t="s">
        <v>50</v>
      </c>
      <c r="K173" s="31" t="s">
        <v>63</v>
      </c>
      <c r="L173" s="31" t="s">
        <v>54</v>
      </c>
      <c r="M173" s="31" t="s">
        <v>54</v>
      </c>
      <c r="N173" s="31" t="s">
        <v>84</v>
      </c>
      <c r="O173" s="31" t="s">
        <v>56</v>
      </c>
      <c r="P173" s="31" t="s">
        <v>81</v>
      </c>
      <c r="Q173" s="31">
        <v>52.600999999999999</v>
      </c>
      <c r="R173" s="31" t="s">
        <v>57</v>
      </c>
      <c r="S173" s="31" t="s">
        <v>65</v>
      </c>
      <c r="T173" s="31" t="s">
        <v>58</v>
      </c>
      <c r="U173" s="31" t="s">
        <v>58</v>
      </c>
      <c r="V173" s="30">
        <v>46044</v>
      </c>
      <c r="W173" s="34">
        <v>0.47916666666666669</v>
      </c>
      <c r="X173" s="34">
        <v>0.58333333333333337</v>
      </c>
      <c r="Y173" s="31"/>
    </row>
    <row r="174" spans="1:25" ht="12.75" x14ac:dyDescent="0.2">
      <c r="A174" s="30">
        <v>46043</v>
      </c>
      <c r="B174" s="31" t="s">
        <v>127</v>
      </c>
      <c r="C174" s="31">
        <v>1</v>
      </c>
      <c r="D174" s="31" t="s">
        <v>60</v>
      </c>
      <c r="E174" s="31" t="s">
        <v>195</v>
      </c>
      <c r="F174" s="31">
        <v>32951664</v>
      </c>
      <c r="G174" s="48">
        <v>60977202</v>
      </c>
      <c r="H174" s="31" t="s">
        <v>52</v>
      </c>
      <c r="I174" s="31">
        <v>18</v>
      </c>
      <c r="J174" s="31" t="s">
        <v>50</v>
      </c>
      <c r="K174" s="31" t="s">
        <v>103</v>
      </c>
      <c r="L174" s="31" t="s">
        <v>76</v>
      </c>
      <c r="M174" s="31" t="s">
        <v>54</v>
      </c>
      <c r="N174" s="31" t="s">
        <v>261</v>
      </c>
      <c r="O174" s="31" t="s">
        <v>56</v>
      </c>
      <c r="P174" s="31" t="s">
        <v>81</v>
      </c>
      <c r="Q174" s="31">
        <v>47562</v>
      </c>
      <c r="R174" s="31" t="s">
        <v>57</v>
      </c>
      <c r="S174" s="31" t="s">
        <v>57</v>
      </c>
      <c r="T174" s="31" t="s">
        <v>58</v>
      </c>
      <c r="U174" s="31" t="s">
        <v>58</v>
      </c>
      <c r="V174" s="30">
        <v>46043</v>
      </c>
      <c r="W174" s="31" t="s">
        <v>262</v>
      </c>
      <c r="X174" s="31" t="s">
        <v>263</v>
      </c>
      <c r="Y174" s="31"/>
    </row>
    <row r="175" spans="1:25" ht="12.75" x14ac:dyDescent="0.2">
      <c r="A175" s="30">
        <v>46045</v>
      </c>
      <c r="B175" s="31" t="s">
        <v>50</v>
      </c>
      <c r="C175" s="31">
        <v>1</v>
      </c>
      <c r="D175" s="31" t="s">
        <v>60</v>
      </c>
      <c r="E175" s="31" t="s">
        <v>264</v>
      </c>
      <c r="F175" s="31">
        <v>71094795</v>
      </c>
      <c r="G175" s="31">
        <v>43328989</v>
      </c>
      <c r="H175" s="31" t="s">
        <v>125</v>
      </c>
      <c r="I175" s="31">
        <v>73</v>
      </c>
      <c r="J175" s="31" t="s">
        <v>50</v>
      </c>
      <c r="K175" s="31" t="s">
        <v>53</v>
      </c>
      <c r="L175" s="31" t="s">
        <v>58</v>
      </c>
      <c r="M175" s="31" t="s">
        <v>54</v>
      </c>
      <c r="N175" s="31" t="s">
        <v>126</v>
      </c>
      <c r="O175" s="31" t="s">
        <v>56</v>
      </c>
      <c r="P175" s="31" t="s">
        <v>81</v>
      </c>
      <c r="Q175" s="31">
        <v>66850</v>
      </c>
      <c r="R175" s="31" t="s">
        <v>57</v>
      </c>
      <c r="S175" s="31" t="s">
        <v>65</v>
      </c>
      <c r="T175" s="31" t="s">
        <v>66</v>
      </c>
      <c r="U175" s="31" t="s">
        <v>58</v>
      </c>
      <c r="V175" s="30">
        <v>46045</v>
      </c>
      <c r="W175" s="34">
        <v>0.33333333333333331</v>
      </c>
      <c r="X175" s="34">
        <v>0.375</v>
      </c>
      <c r="Y175" s="31"/>
    </row>
    <row r="176" spans="1:25" ht="12.75" x14ac:dyDescent="0.2">
      <c r="A176" s="30">
        <v>46045</v>
      </c>
      <c r="B176" s="31" t="s">
        <v>50</v>
      </c>
      <c r="C176" s="31">
        <v>1</v>
      </c>
      <c r="D176" s="31" t="s">
        <v>60</v>
      </c>
      <c r="E176" s="31" t="s">
        <v>264</v>
      </c>
      <c r="F176" s="31">
        <v>71094795</v>
      </c>
      <c r="G176" s="31">
        <v>10106432</v>
      </c>
      <c r="H176" s="31" t="s">
        <v>125</v>
      </c>
      <c r="I176" s="31">
        <v>71</v>
      </c>
      <c r="J176" s="31" t="s">
        <v>50</v>
      </c>
      <c r="K176" s="31" t="s">
        <v>70</v>
      </c>
      <c r="L176" s="31" t="s">
        <v>58</v>
      </c>
      <c r="M176" s="31" t="s">
        <v>54</v>
      </c>
      <c r="N176" s="31" t="s">
        <v>126</v>
      </c>
      <c r="O176" s="31" t="s">
        <v>56</v>
      </c>
      <c r="P176" s="31" t="s">
        <v>81</v>
      </c>
      <c r="Q176" s="31">
        <v>66850</v>
      </c>
      <c r="R176" s="31" t="s">
        <v>57</v>
      </c>
      <c r="S176" s="31" t="s">
        <v>65</v>
      </c>
      <c r="T176" s="31" t="s">
        <v>66</v>
      </c>
      <c r="U176" s="31" t="s">
        <v>58</v>
      </c>
      <c r="V176" s="30">
        <v>46045</v>
      </c>
      <c r="W176" s="34">
        <v>0.375</v>
      </c>
      <c r="X176" s="34">
        <v>0.41666666666666669</v>
      </c>
      <c r="Y176" s="31"/>
    </row>
    <row r="177" spans="1:25" ht="12.75" x14ac:dyDescent="0.2">
      <c r="A177" s="30">
        <v>46045</v>
      </c>
      <c r="B177" s="31" t="s">
        <v>50</v>
      </c>
      <c r="C177" s="31">
        <v>1</v>
      </c>
      <c r="D177" s="31" t="s">
        <v>60</v>
      </c>
      <c r="E177" s="31" t="s">
        <v>61</v>
      </c>
      <c r="F177" s="31">
        <v>21523144</v>
      </c>
      <c r="G177" s="31">
        <v>9145142</v>
      </c>
      <c r="H177" s="31" t="s">
        <v>62</v>
      </c>
      <c r="I177" s="31">
        <v>59</v>
      </c>
      <c r="J177" s="31" t="s">
        <v>63</v>
      </c>
      <c r="K177" s="31" t="s">
        <v>63</v>
      </c>
      <c r="L177" s="31" t="s">
        <v>54</v>
      </c>
      <c r="M177" s="31" t="s">
        <v>54</v>
      </c>
      <c r="N177" s="31" t="s">
        <v>64</v>
      </c>
      <c r="O177" s="31" t="s">
        <v>56</v>
      </c>
      <c r="P177" s="31" t="s">
        <v>50</v>
      </c>
      <c r="Q177" s="31">
        <v>90874</v>
      </c>
      <c r="R177" s="31" t="s">
        <v>57</v>
      </c>
      <c r="S177" s="31" t="s">
        <v>65</v>
      </c>
      <c r="T177" s="31" t="s">
        <v>66</v>
      </c>
      <c r="U177" s="31" t="s">
        <v>58</v>
      </c>
      <c r="V177" s="30">
        <v>46045</v>
      </c>
      <c r="W177" s="34">
        <v>0.33333333333333331</v>
      </c>
      <c r="X177" s="34">
        <v>0.36458333333333331</v>
      </c>
      <c r="Y177" s="31"/>
    </row>
    <row r="178" spans="1:25" ht="12.75" x14ac:dyDescent="0.2">
      <c r="A178" s="30">
        <v>46045</v>
      </c>
      <c r="B178" s="31" t="s">
        <v>50</v>
      </c>
      <c r="C178" s="31">
        <v>1</v>
      </c>
      <c r="D178" s="31" t="s">
        <v>50</v>
      </c>
      <c r="E178" s="31" t="s">
        <v>176</v>
      </c>
      <c r="F178" s="31">
        <v>21523144</v>
      </c>
      <c r="G178" s="31">
        <v>10882673</v>
      </c>
      <c r="H178" s="31" t="s">
        <v>62</v>
      </c>
      <c r="I178" s="31">
        <v>49</v>
      </c>
      <c r="J178" s="31" t="s">
        <v>50</v>
      </c>
      <c r="K178" s="31" t="s">
        <v>58</v>
      </c>
      <c r="L178" s="31" t="s">
        <v>58</v>
      </c>
      <c r="M178" s="31" t="s">
        <v>57</v>
      </c>
      <c r="N178" s="31" t="s">
        <v>64</v>
      </c>
      <c r="O178" s="31" t="s">
        <v>56</v>
      </c>
      <c r="P178" s="31" t="s">
        <v>50</v>
      </c>
      <c r="Q178" s="31">
        <v>90874</v>
      </c>
      <c r="R178" s="31" t="s">
        <v>57</v>
      </c>
      <c r="S178" s="31" t="s">
        <v>65</v>
      </c>
      <c r="T178" s="31" t="s">
        <v>66</v>
      </c>
      <c r="U178" s="31" t="s">
        <v>58</v>
      </c>
      <c r="V178" s="30">
        <v>46045</v>
      </c>
      <c r="W178" s="34">
        <v>0.375</v>
      </c>
      <c r="X178" s="34">
        <v>0.40972222222222221</v>
      </c>
      <c r="Y178" s="31"/>
    </row>
    <row r="179" spans="1:25" ht="12.75" x14ac:dyDescent="0.2">
      <c r="A179" s="30">
        <v>46045</v>
      </c>
      <c r="B179" s="31" t="s">
        <v>59</v>
      </c>
      <c r="C179" s="31">
        <v>1</v>
      </c>
      <c r="D179" s="31" t="s">
        <v>60</v>
      </c>
      <c r="E179" s="31" t="s">
        <v>152</v>
      </c>
      <c r="F179" s="31" t="s">
        <v>153</v>
      </c>
      <c r="G179" s="31">
        <v>28338939</v>
      </c>
      <c r="H179" s="31" t="s">
        <v>52</v>
      </c>
      <c r="I179" s="31">
        <v>54</v>
      </c>
      <c r="J179" s="31" t="s">
        <v>63</v>
      </c>
      <c r="K179" s="31" t="s">
        <v>63</v>
      </c>
      <c r="L179" s="31" t="s">
        <v>54</v>
      </c>
      <c r="M179" s="31" t="s">
        <v>54</v>
      </c>
      <c r="N179" s="31" t="s">
        <v>265</v>
      </c>
      <c r="O179" s="31" t="s">
        <v>56</v>
      </c>
      <c r="P179" s="31" t="s">
        <v>81</v>
      </c>
      <c r="Q179" s="31">
        <v>27327</v>
      </c>
      <c r="R179" s="31" t="s">
        <v>57</v>
      </c>
      <c r="S179" s="31" t="s">
        <v>65</v>
      </c>
      <c r="T179" s="31" t="s">
        <v>58</v>
      </c>
      <c r="U179" s="31" t="s">
        <v>58</v>
      </c>
      <c r="V179" s="30">
        <v>46045</v>
      </c>
      <c r="W179" s="31" t="s">
        <v>266</v>
      </c>
      <c r="X179" s="31" t="s">
        <v>267</v>
      </c>
      <c r="Y179" s="31"/>
    </row>
    <row r="180" spans="1:25" ht="12.75" x14ac:dyDescent="0.2">
      <c r="A180" s="30">
        <v>46045</v>
      </c>
      <c r="B180" s="31" t="s">
        <v>67</v>
      </c>
      <c r="C180" s="31">
        <v>1</v>
      </c>
      <c r="D180" s="31" t="s">
        <v>60</v>
      </c>
      <c r="E180" s="31" t="s">
        <v>114</v>
      </c>
      <c r="F180" s="31">
        <v>18174396</v>
      </c>
      <c r="G180" s="31">
        <v>8570707</v>
      </c>
      <c r="H180" s="31" t="s">
        <v>115</v>
      </c>
      <c r="I180" s="31">
        <v>84</v>
      </c>
      <c r="J180" s="31" t="s">
        <v>50</v>
      </c>
      <c r="K180" s="31" t="s">
        <v>63</v>
      </c>
      <c r="L180" s="31" t="s">
        <v>63</v>
      </c>
      <c r="M180" s="31" t="s">
        <v>54</v>
      </c>
      <c r="N180" s="31" t="s">
        <v>107</v>
      </c>
      <c r="O180" s="31" t="s">
        <v>56</v>
      </c>
      <c r="P180" s="31" t="s">
        <v>81</v>
      </c>
      <c r="Q180" s="31">
        <v>37247</v>
      </c>
      <c r="R180" s="31" t="s">
        <v>57</v>
      </c>
      <c r="S180" s="31" t="s">
        <v>65</v>
      </c>
      <c r="T180" s="31" t="s">
        <v>58</v>
      </c>
      <c r="U180" s="31" t="s">
        <v>58</v>
      </c>
      <c r="V180" s="30">
        <v>46045</v>
      </c>
      <c r="W180" s="34">
        <v>0.4375</v>
      </c>
      <c r="X180" s="34">
        <v>0.50694444444444442</v>
      </c>
      <c r="Y180" s="31"/>
    </row>
    <row r="181" spans="1:25" ht="12.75" x14ac:dyDescent="0.2">
      <c r="A181" s="30">
        <v>46045</v>
      </c>
      <c r="B181" s="31" t="s">
        <v>93</v>
      </c>
      <c r="C181" s="31">
        <v>1</v>
      </c>
      <c r="D181" s="31" t="s">
        <v>60</v>
      </c>
      <c r="E181" s="31" t="s">
        <v>268</v>
      </c>
      <c r="F181" s="31">
        <v>46081656</v>
      </c>
      <c r="G181" s="31">
        <v>31350653</v>
      </c>
      <c r="H181" s="31" t="s">
        <v>73</v>
      </c>
      <c r="I181" s="31">
        <v>71</v>
      </c>
      <c r="J181" s="31" t="s">
        <v>50</v>
      </c>
      <c r="K181" s="31" t="s">
        <v>63</v>
      </c>
      <c r="L181" s="31" t="s">
        <v>54</v>
      </c>
      <c r="M181" s="31" t="s">
        <v>54</v>
      </c>
      <c r="N181" s="31" t="s">
        <v>269</v>
      </c>
      <c r="O181" s="31" t="s">
        <v>56</v>
      </c>
      <c r="P181" s="31" t="s">
        <v>81</v>
      </c>
      <c r="Q181" s="31">
        <v>23470</v>
      </c>
      <c r="R181" s="31" t="s">
        <v>57</v>
      </c>
      <c r="S181" s="31" t="s">
        <v>65</v>
      </c>
      <c r="T181" s="31" t="s">
        <v>58</v>
      </c>
      <c r="U181" s="31" t="s">
        <v>58</v>
      </c>
      <c r="V181" s="30">
        <v>46045</v>
      </c>
      <c r="W181" s="34">
        <v>0.34722222222222221</v>
      </c>
      <c r="X181" s="34">
        <v>0.57986111111111116</v>
      </c>
      <c r="Y181" s="31"/>
    </row>
    <row r="182" spans="1:25" ht="12.75" x14ac:dyDescent="0.2">
      <c r="A182" s="30">
        <v>46045</v>
      </c>
      <c r="B182" s="31" t="s">
        <v>97</v>
      </c>
      <c r="C182" s="31">
        <v>1</v>
      </c>
      <c r="D182" s="31" t="s">
        <v>60</v>
      </c>
      <c r="E182" s="31" t="s">
        <v>268</v>
      </c>
      <c r="F182" s="31">
        <v>46081656</v>
      </c>
      <c r="G182" s="31">
        <v>7636075</v>
      </c>
      <c r="H182" s="31" t="s">
        <v>73</v>
      </c>
      <c r="I182" s="31">
        <v>25</v>
      </c>
      <c r="J182" s="31" t="s">
        <v>63</v>
      </c>
      <c r="K182" s="31" t="s">
        <v>63</v>
      </c>
      <c r="L182" s="31" t="s">
        <v>54</v>
      </c>
      <c r="M182" s="31" t="s">
        <v>54</v>
      </c>
      <c r="N182" s="31" t="s">
        <v>270</v>
      </c>
      <c r="O182" s="31" t="s">
        <v>56</v>
      </c>
      <c r="P182" s="31" t="s">
        <v>81</v>
      </c>
      <c r="Q182" s="31">
        <v>20206</v>
      </c>
      <c r="R182" s="31" t="s">
        <v>57</v>
      </c>
      <c r="S182" s="31" t="s">
        <v>65</v>
      </c>
      <c r="T182" s="31" t="s">
        <v>58</v>
      </c>
      <c r="U182" s="31" t="s">
        <v>58</v>
      </c>
      <c r="V182" s="30">
        <v>46045</v>
      </c>
      <c r="W182" s="34">
        <v>0.60416666666666663</v>
      </c>
      <c r="X182" s="34">
        <v>0.67708333333333337</v>
      </c>
      <c r="Y182" s="31"/>
    </row>
    <row r="183" spans="1:25" ht="12.75" x14ac:dyDescent="0.2">
      <c r="A183" s="30">
        <v>46045</v>
      </c>
      <c r="B183" s="31" t="s">
        <v>100</v>
      </c>
      <c r="C183" s="31">
        <v>1</v>
      </c>
      <c r="D183" s="31" t="s">
        <v>60</v>
      </c>
      <c r="E183" s="31" t="s">
        <v>271</v>
      </c>
      <c r="F183" s="31">
        <v>47517652</v>
      </c>
      <c r="G183" s="31">
        <v>90664994</v>
      </c>
      <c r="H183" s="31" t="s">
        <v>73</v>
      </c>
      <c r="I183" s="31">
        <v>18</v>
      </c>
      <c r="J183" s="31" t="s">
        <v>50</v>
      </c>
      <c r="K183" s="31" t="s">
        <v>58</v>
      </c>
      <c r="L183" s="31" t="s">
        <v>54</v>
      </c>
      <c r="M183" s="31" t="s">
        <v>54</v>
      </c>
      <c r="N183" s="31" t="s">
        <v>272</v>
      </c>
      <c r="O183" s="31" t="s">
        <v>56</v>
      </c>
      <c r="P183" s="31" t="s">
        <v>81</v>
      </c>
      <c r="Q183" s="31">
        <v>27510</v>
      </c>
      <c r="R183" s="31" t="s">
        <v>57</v>
      </c>
      <c r="S183" s="31" t="s">
        <v>65</v>
      </c>
      <c r="T183" s="31" t="s">
        <v>58</v>
      </c>
      <c r="U183" s="31" t="s">
        <v>58</v>
      </c>
      <c r="V183" s="30">
        <v>46045</v>
      </c>
      <c r="W183" s="34">
        <v>0.6875</v>
      </c>
      <c r="X183" s="34">
        <v>0.83333333333333337</v>
      </c>
      <c r="Y183" s="31"/>
    </row>
    <row r="184" spans="1:25" ht="12.75" x14ac:dyDescent="0.2">
      <c r="A184" s="30">
        <v>46045</v>
      </c>
      <c r="B184" s="31" t="s">
        <v>59</v>
      </c>
      <c r="C184" s="31">
        <v>1</v>
      </c>
      <c r="D184" s="31" t="s">
        <v>60</v>
      </c>
      <c r="E184" s="31" t="s">
        <v>159</v>
      </c>
      <c r="F184" s="31">
        <v>22254408</v>
      </c>
      <c r="G184" s="31">
        <v>9257138</v>
      </c>
      <c r="H184" s="31" t="s">
        <v>140</v>
      </c>
      <c r="I184" s="31">
        <v>58</v>
      </c>
      <c r="J184" s="31" t="s">
        <v>63</v>
      </c>
      <c r="K184" s="31" t="s">
        <v>63</v>
      </c>
      <c r="L184" s="31" t="s">
        <v>54</v>
      </c>
      <c r="M184" s="31" t="s">
        <v>54</v>
      </c>
      <c r="N184" s="31" t="s">
        <v>109</v>
      </c>
      <c r="O184" s="31" t="s">
        <v>56</v>
      </c>
      <c r="P184" s="31" t="s">
        <v>81</v>
      </c>
      <c r="Q184" s="31">
        <v>47562</v>
      </c>
      <c r="R184" s="31" t="s">
        <v>57</v>
      </c>
      <c r="S184" s="31" t="s">
        <v>65</v>
      </c>
      <c r="T184" s="31" t="s">
        <v>58</v>
      </c>
      <c r="U184" s="31" t="s">
        <v>58</v>
      </c>
      <c r="V184" s="30">
        <v>46045</v>
      </c>
      <c r="W184" s="34">
        <v>0.35416666666666669</v>
      </c>
      <c r="X184" s="34">
        <v>0.44791666666666669</v>
      </c>
      <c r="Y184" s="31"/>
    </row>
    <row r="185" spans="1:25" ht="12.75" x14ac:dyDescent="0.2">
      <c r="A185" s="30">
        <v>46045</v>
      </c>
      <c r="B185" s="31" t="s">
        <v>67</v>
      </c>
      <c r="C185" s="31">
        <v>1</v>
      </c>
      <c r="D185" s="31" t="s">
        <v>60</v>
      </c>
      <c r="E185" s="31" t="s">
        <v>152</v>
      </c>
      <c r="F185" s="31" t="s">
        <v>153</v>
      </c>
      <c r="G185" s="31">
        <v>2374947</v>
      </c>
      <c r="H185" s="31" t="s">
        <v>52</v>
      </c>
      <c r="I185" s="31">
        <v>65</v>
      </c>
      <c r="J185" s="31" t="s">
        <v>50</v>
      </c>
      <c r="K185" s="31" t="s">
        <v>103</v>
      </c>
      <c r="L185" s="31" t="s">
        <v>58</v>
      </c>
      <c r="M185" s="31" t="s">
        <v>54</v>
      </c>
      <c r="N185" s="31" t="s">
        <v>207</v>
      </c>
      <c r="O185" s="31" t="s">
        <v>56</v>
      </c>
      <c r="P185" s="31" t="s">
        <v>81</v>
      </c>
      <c r="Q185" s="31">
        <v>49659</v>
      </c>
      <c r="R185" s="31" t="s">
        <v>57</v>
      </c>
      <c r="S185" s="31" t="s">
        <v>65</v>
      </c>
      <c r="T185" s="31" t="s">
        <v>58</v>
      </c>
      <c r="U185" s="31" t="s">
        <v>58</v>
      </c>
      <c r="V185" s="30">
        <v>46045</v>
      </c>
      <c r="W185" s="34">
        <v>0.45833333333333331</v>
      </c>
      <c r="X185" s="34">
        <v>0.53125</v>
      </c>
      <c r="Y185" s="31"/>
    </row>
    <row r="186" spans="1:25" ht="12.75" x14ac:dyDescent="0.2">
      <c r="A186" s="30">
        <v>46044</v>
      </c>
      <c r="B186" s="31" t="s">
        <v>127</v>
      </c>
      <c r="C186" s="31">
        <v>1</v>
      </c>
      <c r="D186" s="31" t="s">
        <v>60</v>
      </c>
      <c r="E186" s="31" t="s">
        <v>152</v>
      </c>
      <c r="F186" s="31" t="s">
        <v>153</v>
      </c>
      <c r="G186" s="31">
        <v>40278509</v>
      </c>
      <c r="H186" s="31" t="s">
        <v>52</v>
      </c>
      <c r="I186" s="31">
        <v>50</v>
      </c>
      <c r="J186" s="31" t="s">
        <v>63</v>
      </c>
      <c r="K186" s="31" t="s">
        <v>103</v>
      </c>
      <c r="L186" s="31" t="s">
        <v>76</v>
      </c>
      <c r="M186" s="31" t="s">
        <v>54</v>
      </c>
      <c r="N186" s="31" t="s">
        <v>273</v>
      </c>
      <c r="O186" s="31" t="s">
        <v>56</v>
      </c>
      <c r="P186" s="31" t="s">
        <v>81</v>
      </c>
      <c r="Q186" s="31">
        <v>44970</v>
      </c>
      <c r="R186" s="31" t="s">
        <v>57</v>
      </c>
      <c r="S186" s="31" t="s">
        <v>57</v>
      </c>
      <c r="T186" s="31" t="s">
        <v>58</v>
      </c>
      <c r="U186" s="31" t="s">
        <v>58</v>
      </c>
      <c r="V186" s="30">
        <v>46044</v>
      </c>
      <c r="W186" s="34">
        <v>0.41666666666666669</v>
      </c>
      <c r="X186" s="34">
        <v>0.44791666666666669</v>
      </c>
      <c r="Y186" s="31"/>
    </row>
    <row r="187" spans="1:25" ht="12.75" x14ac:dyDescent="0.2">
      <c r="A187" s="30">
        <v>46044</v>
      </c>
      <c r="B187" s="31" t="s">
        <v>127</v>
      </c>
      <c r="C187" s="31">
        <v>1</v>
      </c>
      <c r="D187" s="31" t="s">
        <v>60</v>
      </c>
      <c r="E187" s="31" t="s">
        <v>152</v>
      </c>
      <c r="F187" s="31" t="s">
        <v>153</v>
      </c>
      <c r="G187" s="31">
        <v>46995390</v>
      </c>
      <c r="H187" s="31" t="s">
        <v>52</v>
      </c>
      <c r="I187" s="31">
        <v>34</v>
      </c>
      <c r="J187" s="31" t="s">
        <v>63</v>
      </c>
      <c r="K187" s="31" t="s">
        <v>63</v>
      </c>
      <c r="L187" s="31" t="s">
        <v>54</v>
      </c>
      <c r="M187" s="31" t="s">
        <v>54</v>
      </c>
      <c r="N187" s="31" t="s">
        <v>274</v>
      </c>
      <c r="O187" s="31" t="s">
        <v>56</v>
      </c>
      <c r="P187" s="31" t="s">
        <v>81</v>
      </c>
      <c r="Q187" s="31">
        <v>49592</v>
      </c>
      <c r="R187" s="31" t="s">
        <v>57</v>
      </c>
      <c r="S187" s="31" t="s">
        <v>57</v>
      </c>
      <c r="T187" s="31" t="s">
        <v>58</v>
      </c>
      <c r="U187" s="31" t="s">
        <v>58</v>
      </c>
      <c r="V187" s="30">
        <v>46044</v>
      </c>
      <c r="W187" s="34">
        <v>0.45833333333333331</v>
      </c>
      <c r="X187" s="34">
        <v>0.52777777777777779</v>
      </c>
      <c r="Y187" s="31"/>
    </row>
    <row r="188" spans="1:25" ht="12.75" x14ac:dyDescent="0.2">
      <c r="A188" s="30">
        <v>46045</v>
      </c>
      <c r="B188" s="31" t="s">
        <v>49</v>
      </c>
      <c r="C188" s="31">
        <v>1</v>
      </c>
      <c r="D188" s="31" t="s">
        <v>50</v>
      </c>
      <c r="E188" s="31" t="s">
        <v>275</v>
      </c>
      <c r="F188" s="31">
        <v>42935495</v>
      </c>
      <c r="G188" s="31">
        <v>791833</v>
      </c>
      <c r="H188" s="31" t="s">
        <v>52</v>
      </c>
      <c r="I188" s="31">
        <v>68</v>
      </c>
      <c r="J188" s="31" t="s">
        <v>50</v>
      </c>
      <c r="K188" s="31" t="s">
        <v>53</v>
      </c>
      <c r="L188" s="31" t="s">
        <v>58</v>
      </c>
      <c r="M188" s="31" t="s">
        <v>54</v>
      </c>
      <c r="N188" s="31" t="s">
        <v>276</v>
      </c>
      <c r="O188" s="31" t="s">
        <v>56</v>
      </c>
      <c r="P188" s="31" t="s">
        <v>81</v>
      </c>
      <c r="Q188" s="31">
        <v>49000</v>
      </c>
      <c r="R188" s="31" t="s">
        <v>57</v>
      </c>
      <c r="S188" s="31" t="s">
        <v>57</v>
      </c>
      <c r="T188" s="31" t="s">
        <v>58</v>
      </c>
      <c r="U188" s="31" t="s">
        <v>58</v>
      </c>
      <c r="V188" s="30">
        <v>46045</v>
      </c>
      <c r="W188" s="34">
        <v>0.5</v>
      </c>
      <c r="X188" s="34">
        <v>0.625</v>
      </c>
      <c r="Y188" s="31"/>
    </row>
    <row r="189" spans="1:25" ht="12.75" x14ac:dyDescent="0.2">
      <c r="A189" s="30">
        <v>46045</v>
      </c>
      <c r="B189" s="31" t="s">
        <v>127</v>
      </c>
      <c r="C189" s="31">
        <v>1</v>
      </c>
      <c r="D189" s="31" t="s">
        <v>60</v>
      </c>
      <c r="E189" s="31" t="s">
        <v>170</v>
      </c>
      <c r="F189" s="31">
        <v>10796086</v>
      </c>
      <c r="G189" s="31">
        <v>72112972</v>
      </c>
      <c r="H189" s="31" t="s">
        <v>147</v>
      </c>
      <c r="I189" s="31">
        <v>27</v>
      </c>
      <c r="J189" s="31" t="s">
        <v>63</v>
      </c>
      <c r="K189" s="31" t="s">
        <v>63</v>
      </c>
      <c r="L189" s="31" t="s">
        <v>54</v>
      </c>
      <c r="M189" s="31" t="s">
        <v>54</v>
      </c>
      <c r="N189" s="31" t="s">
        <v>277</v>
      </c>
      <c r="O189" s="31" t="s">
        <v>56</v>
      </c>
      <c r="P189" s="31" t="s">
        <v>81</v>
      </c>
      <c r="Q189" s="31">
        <v>59514</v>
      </c>
      <c r="R189" s="31" t="s">
        <v>57</v>
      </c>
      <c r="S189" s="31" t="s">
        <v>57</v>
      </c>
      <c r="T189" s="31" t="s">
        <v>58</v>
      </c>
      <c r="U189" s="31" t="s">
        <v>58</v>
      </c>
      <c r="V189" s="30">
        <v>46045</v>
      </c>
      <c r="W189" s="34">
        <v>0.97916666666666663</v>
      </c>
      <c r="X189" s="34">
        <v>3.4722222222222224E-2</v>
      </c>
      <c r="Y189" s="31"/>
    </row>
    <row r="190" spans="1:25" ht="12.75" x14ac:dyDescent="0.2">
      <c r="A190" s="30">
        <v>46046</v>
      </c>
      <c r="B190" s="31" t="s">
        <v>59</v>
      </c>
      <c r="C190" s="31">
        <v>1</v>
      </c>
      <c r="D190" s="31" t="s">
        <v>60</v>
      </c>
      <c r="E190" s="31" t="s">
        <v>195</v>
      </c>
      <c r="F190" s="31">
        <v>32951664</v>
      </c>
      <c r="G190" s="31">
        <v>73832251</v>
      </c>
      <c r="H190" s="31" t="s">
        <v>52</v>
      </c>
      <c r="I190" s="31">
        <v>19</v>
      </c>
      <c r="J190" s="31" t="s">
        <v>50</v>
      </c>
      <c r="K190" s="31" t="s">
        <v>58</v>
      </c>
      <c r="L190" s="31" t="s">
        <v>76</v>
      </c>
      <c r="M190" s="31" t="s">
        <v>54</v>
      </c>
      <c r="N190" s="31" t="s">
        <v>210</v>
      </c>
      <c r="O190" s="31" t="s">
        <v>56</v>
      </c>
      <c r="P190" s="31" t="s">
        <v>81</v>
      </c>
      <c r="Q190" s="31">
        <v>49659</v>
      </c>
      <c r="R190" s="31" t="s">
        <v>57</v>
      </c>
      <c r="S190" s="31" t="s">
        <v>65</v>
      </c>
      <c r="T190" s="31" t="s">
        <v>58</v>
      </c>
      <c r="U190" s="31" t="s">
        <v>58</v>
      </c>
      <c r="V190" s="30">
        <v>46046</v>
      </c>
      <c r="W190" s="34">
        <v>0.37152777777777779</v>
      </c>
      <c r="X190" s="34">
        <v>0.45833333333333331</v>
      </c>
      <c r="Y190" s="31"/>
    </row>
    <row r="191" spans="1:25" ht="12.75" x14ac:dyDescent="0.2">
      <c r="A191" s="30">
        <v>46046</v>
      </c>
      <c r="B191" s="31" t="s">
        <v>59</v>
      </c>
      <c r="C191" s="31">
        <v>1</v>
      </c>
      <c r="D191" s="31" t="s">
        <v>60</v>
      </c>
      <c r="E191" s="31" t="s">
        <v>278</v>
      </c>
      <c r="F191" s="31">
        <v>46648865</v>
      </c>
      <c r="G191" s="31">
        <v>40065935</v>
      </c>
      <c r="H191" s="31" t="s">
        <v>279</v>
      </c>
      <c r="I191" s="31">
        <v>48</v>
      </c>
      <c r="J191" s="31" t="s">
        <v>63</v>
      </c>
      <c r="K191" s="31" t="s">
        <v>103</v>
      </c>
      <c r="L191" s="31" t="s">
        <v>76</v>
      </c>
      <c r="M191" s="31" t="s">
        <v>54</v>
      </c>
      <c r="N191" s="31" t="s">
        <v>280</v>
      </c>
      <c r="O191" s="31" t="s">
        <v>56</v>
      </c>
      <c r="P191" s="31" t="s">
        <v>50</v>
      </c>
      <c r="Q191" s="31">
        <v>21550</v>
      </c>
      <c r="R191" s="31" t="s">
        <v>57</v>
      </c>
      <c r="S191" s="31" t="s">
        <v>65</v>
      </c>
      <c r="T191" s="31" t="s">
        <v>66</v>
      </c>
      <c r="U191" s="31" t="s">
        <v>58</v>
      </c>
      <c r="V191" s="30">
        <v>46046</v>
      </c>
      <c r="W191" s="34">
        <v>0.36805555555555558</v>
      </c>
      <c r="X191" s="34">
        <v>0.40972222222222221</v>
      </c>
      <c r="Y191" s="31"/>
    </row>
    <row r="192" spans="1:25" ht="12.75" x14ac:dyDescent="0.2">
      <c r="A192" s="30">
        <v>46046</v>
      </c>
      <c r="B192" s="31" t="s">
        <v>67</v>
      </c>
      <c r="C192" s="31">
        <v>1</v>
      </c>
      <c r="D192" s="31" t="s">
        <v>60</v>
      </c>
      <c r="E192" s="31" t="s">
        <v>278</v>
      </c>
      <c r="F192" s="31">
        <v>46648865</v>
      </c>
      <c r="G192" s="31">
        <v>118360</v>
      </c>
      <c r="H192" s="31" t="s">
        <v>279</v>
      </c>
      <c r="I192" s="31">
        <v>66</v>
      </c>
      <c r="J192" s="31" t="s">
        <v>63</v>
      </c>
      <c r="K192" s="31" t="s">
        <v>63</v>
      </c>
      <c r="L192" s="31" t="s">
        <v>54</v>
      </c>
      <c r="M192" s="31" t="s">
        <v>54</v>
      </c>
      <c r="N192" s="31" t="s">
        <v>281</v>
      </c>
      <c r="O192" s="31" t="s">
        <v>56</v>
      </c>
      <c r="P192" s="31" t="s">
        <v>50</v>
      </c>
      <c r="Q192" s="31">
        <v>38500</v>
      </c>
      <c r="R192" s="31" t="s">
        <v>57</v>
      </c>
      <c r="S192" s="31" t="s">
        <v>65</v>
      </c>
      <c r="T192" s="31" t="s">
        <v>66</v>
      </c>
      <c r="U192" s="31" t="s">
        <v>58</v>
      </c>
      <c r="V192" s="30">
        <v>46046</v>
      </c>
      <c r="W192" s="34">
        <v>0.4236111111111111</v>
      </c>
      <c r="X192" s="34">
        <v>0.45833333333333331</v>
      </c>
      <c r="Y192" s="31"/>
    </row>
    <row r="193" spans="1:25" ht="12.75" x14ac:dyDescent="0.2">
      <c r="A193" s="30">
        <v>46048</v>
      </c>
      <c r="B193" s="31" t="s">
        <v>59</v>
      </c>
      <c r="C193" s="31">
        <v>1</v>
      </c>
      <c r="D193" s="31" t="s">
        <v>60</v>
      </c>
      <c r="E193" s="31" t="s">
        <v>228</v>
      </c>
      <c r="F193" s="31">
        <v>10149432</v>
      </c>
      <c r="G193" s="31">
        <v>21542154</v>
      </c>
      <c r="H193" s="31" t="s">
        <v>52</v>
      </c>
      <c r="I193" s="31">
        <v>76</v>
      </c>
      <c r="J193" s="31" t="s">
        <v>50</v>
      </c>
      <c r="K193" s="31" t="s">
        <v>70</v>
      </c>
      <c r="L193" s="31" t="s">
        <v>58</v>
      </c>
      <c r="M193" s="31" t="s">
        <v>54</v>
      </c>
      <c r="N193" s="31" t="s">
        <v>282</v>
      </c>
      <c r="O193" s="31" t="s">
        <v>56</v>
      </c>
      <c r="P193" s="31" t="s">
        <v>81</v>
      </c>
      <c r="Q193" s="31">
        <v>44140</v>
      </c>
      <c r="R193" s="31" t="s">
        <v>57</v>
      </c>
      <c r="S193" s="31" t="s">
        <v>65</v>
      </c>
      <c r="T193" s="31" t="s">
        <v>58</v>
      </c>
      <c r="U193" s="31" t="s">
        <v>58</v>
      </c>
      <c r="V193" s="30">
        <v>46048</v>
      </c>
      <c r="W193" s="34">
        <v>0.33333333333333331</v>
      </c>
      <c r="X193" s="34">
        <v>0.54166666666666663</v>
      </c>
      <c r="Y193" s="31"/>
    </row>
    <row r="194" spans="1:25" ht="12.75" x14ac:dyDescent="0.2">
      <c r="A194" s="30">
        <v>46048</v>
      </c>
      <c r="B194" s="31" t="s">
        <v>67</v>
      </c>
      <c r="C194" s="31">
        <v>1</v>
      </c>
      <c r="D194" s="31" t="s">
        <v>60</v>
      </c>
      <c r="E194" s="31" t="s">
        <v>108</v>
      </c>
      <c r="F194" s="31">
        <v>25542321</v>
      </c>
      <c r="G194" s="31">
        <v>8149911</v>
      </c>
      <c r="H194" s="31" t="s">
        <v>52</v>
      </c>
      <c r="I194" s="31">
        <v>68</v>
      </c>
      <c r="J194" s="31" t="s">
        <v>50</v>
      </c>
      <c r="K194" s="31" t="s">
        <v>66</v>
      </c>
      <c r="L194" s="31" t="s">
        <v>58</v>
      </c>
      <c r="M194" s="31" t="s">
        <v>54</v>
      </c>
      <c r="N194" s="31" t="s">
        <v>210</v>
      </c>
      <c r="O194" s="31" t="s">
        <v>56</v>
      </c>
      <c r="P194" s="31" t="s">
        <v>81</v>
      </c>
      <c r="Q194" s="31">
        <v>49659</v>
      </c>
      <c r="R194" s="31" t="s">
        <v>57</v>
      </c>
      <c r="S194" s="31" t="s">
        <v>65</v>
      </c>
      <c r="T194" s="31" t="s">
        <v>58</v>
      </c>
      <c r="U194" s="31" t="s">
        <v>58</v>
      </c>
      <c r="V194" s="30">
        <v>46048</v>
      </c>
      <c r="W194" s="34">
        <v>0.5625</v>
      </c>
      <c r="X194" s="34">
        <v>0.6875</v>
      </c>
      <c r="Y194" s="31"/>
    </row>
    <row r="195" spans="1:25" ht="12.75" x14ac:dyDescent="0.2">
      <c r="A195" s="30">
        <v>46048</v>
      </c>
      <c r="B195" s="31" t="s">
        <v>283</v>
      </c>
      <c r="C195" s="31">
        <v>1</v>
      </c>
      <c r="D195" s="31" t="s">
        <v>50</v>
      </c>
      <c r="E195" s="31" t="s">
        <v>284</v>
      </c>
      <c r="F195" s="48">
        <v>18160760</v>
      </c>
      <c r="G195" s="31">
        <v>324772450</v>
      </c>
      <c r="H195" s="31" t="s">
        <v>52</v>
      </c>
      <c r="I195" s="31">
        <v>22</v>
      </c>
      <c r="J195" s="31" t="s">
        <v>63</v>
      </c>
      <c r="K195" s="31" t="s">
        <v>63</v>
      </c>
      <c r="L195" s="31" t="s">
        <v>54</v>
      </c>
      <c r="M195" s="31" t="s">
        <v>54</v>
      </c>
      <c r="N195" s="31" t="s">
        <v>109</v>
      </c>
      <c r="O195" s="31" t="s">
        <v>56</v>
      </c>
      <c r="P195" s="31" t="s">
        <v>81</v>
      </c>
      <c r="Q195" s="31">
        <v>47957</v>
      </c>
      <c r="R195" s="31" t="s">
        <v>57</v>
      </c>
      <c r="S195" s="31" t="s">
        <v>65</v>
      </c>
      <c r="T195" s="31" t="s">
        <v>58</v>
      </c>
      <c r="U195" s="31" t="s">
        <v>58</v>
      </c>
      <c r="V195" s="30">
        <v>46048</v>
      </c>
      <c r="W195" s="34">
        <v>0.70833333333333337</v>
      </c>
      <c r="X195" s="34">
        <v>0.85416666666666663</v>
      </c>
      <c r="Y195" s="31"/>
    </row>
    <row r="196" spans="1:25" ht="12.75" x14ac:dyDescent="0.2">
      <c r="A196" s="30">
        <v>46048</v>
      </c>
      <c r="B196" s="31" t="s">
        <v>59</v>
      </c>
      <c r="C196" s="31">
        <v>1</v>
      </c>
      <c r="D196" s="31" t="s">
        <v>50</v>
      </c>
      <c r="E196" s="31" t="s">
        <v>78</v>
      </c>
      <c r="F196" s="31">
        <v>43403659</v>
      </c>
      <c r="G196" s="31">
        <v>75358453</v>
      </c>
      <c r="H196" s="31" t="s">
        <v>285</v>
      </c>
      <c r="I196" s="31">
        <v>20</v>
      </c>
      <c r="J196" s="31" t="s">
        <v>50</v>
      </c>
      <c r="K196" s="31" t="s">
        <v>60</v>
      </c>
      <c r="L196" s="31" t="s">
        <v>76</v>
      </c>
      <c r="M196" s="31" t="s">
        <v>54</v>
      </c>
      <c r="N196" s="31" t="s">
        <v>286</v>
      </c>
      <c r="O196" s="31" t="s">
        <v>56</v>
      </c>
      <c r="P196" s="31" t="s">
        <v>81</v>
      </c>
      <c r="Q196" s="31">
        <v>30520</v>
      </c>
      <c r="R196" s="31" t="s">
        <v>57</v>
      </c>
      <c r="S196" s="31" t="s">
        <v>65</v>
      </c>
      <c r="T196" s="31" t="s">
        <v>58</v>
      </c>
      <c r="U196" s="31" t="s">
        <v>58</v>
      </c>
      <c r="V196" s="30">
        <v>46048</v>
      </c>
      <c r="W196" s="31" t="s">
        <v>266</v>
      </c>
      <c r="X196" s="51">
        <v>46033</v>
      </c>
      <c r="Y196" s="31"/>
    </row>
    <row r="197" spans="1:25" ht="12.75" x14ac:dyDescent="0.2">
      <c r="A197" s="30">
        <v>46048</v>
      </c>
      <c r="B197" s="31" t="s">
        <v>67</v>
      </c>
      <c r="C197" s="31">
        <v>1</v>
      </c>
      <c r="D197" s="31" t="s">
        <v>50</v>
      </c>
      <c r="E197" s="31" t="s">
        <v>78</v>
      </c>
      <c r="F197" s="48">
        <v>43403659</v>
      </c>
      <c r="G197" s="31" t="s">
        <v>287</v>
      </c>
      <c r="H197" s="31" t="s">
        <v>285</v>
      </c>
      <c r="I197" s="31">
        <v>73</v>
      </c>
      <c r="J197" s="31" t="s">
        <v>50</v>
      </c>
      <c r="K197" s="31" t="s">
        <v>63</v>
      </c>
      <c r="L197" s="31" t="s">
        <v>54</v>
      </c>
      <c r="M197" s="31" t="s">
        <v>54</v>
      </c>
      <c r="N197" s="31" t="s">
        <v>80</v>
      </c>
      <c r="O197" s="31" t="s">
        <v>56</v>
      </c>
      <c r="P197" s="31" t="s">
        <v>81</v>
      </c>
      <c r="Q197" s="31">
        <v>30520</v>
      </c>
      <c r="R197" s="31" t="s">
        <v>57</v>
      </c>
      <c r="S197" s="31" t="s">
        <v>65</v>
      </c>
      <c r="T197" s="31" t="s">
        <v>66</v>
      </c>
      <c r="U197" s="31" t="s">
        <v>58</v>
      </c>
      <c r="V197" s="30">
        <v>46048</v>
      </c>
      <c r="W197" s="34">
        <v>0.47916666666666669</v>
      </c>
      <c r="X197" s="34">
        <v>0.54166666666666663</v>
      </c>
      <c r="Y197" s="31"/>
    </row>
    <row r="198" spans="1:25" ht="12.75" x14ac:dyDescent="0.2">
      <c r="A198" s="30">
        <v>46048</v>
      </c>
      <c r="B198" s="31" t="s">
        <v>59</v>
      </c>
      <c r="C198" s="31">
        <v>1</v>
      </c>
      <c r="D198" s="31" t="s">
        <v>60</v>
      </c>
      <c r="E198" s="31" t="s">
        <v>221</v>
      </c>
      <c r="F198" s="31">
        <v>43965076</v>
      </c>
      <c r="G198" s="48" t="s">
        <v>288</v>
      </c>
      <c r="H198" s="31" t="s">
        <v>73</v>
      </c>
      <c r="I198" s="31">
        <v>19</v>
      </c>
      <c r="J198" s="31" t="s">
        <v>50</v>
      </c>
      <c r="K198" s="31" t="s">
        <v>58</v>
      </c>
      <c r="L198" s="31" t="s">
        <v>54</v>
      </c>
      <c r="M198" s="31" t="s">
        <v>54</v>
      </c>
      <c r="N198" s="31" t="s">
        <v>289</v>
      </c>
      <c r="O198" s="31" t="s">
        <v>56</v>
      </c>
      <c r="P198" s="31" t="s">
        <v>81</v>
      </c>
      <c r="Q198" s="31">
        <v>23500</v>
      </c>
      <c r="R198" s="31" t="s">
        <v>57</v>
      </c>
      <c r="S198" s="31" t="s">
        <v>65</v>
      </c>
      <c r="T198" s="31" t="s">
        <v>58</v>
      </c>
      <c r="U198" s="31" t="s">
        <v>58</v>
      </c>
      <c r="V198" s="30">
        <v>46048</v>
      </c>
      <c r="W198" s="34">
        <v>0.33333333333333331</v>
      </c>
      <c r="X198" s="34">
        <v>0.47916666666666669</v>
      </c>
      <c r="Y198" s="31"/>
    </row>
    <row r="199" spans="1:25" ht="12.75" x14ac:dyDescent="0.2">
      <c r="A199" s="30">
        <v>46048</v>
      </c>
      <c r="B199" s="31" t="s">
        <v>59</v>
      </c>
      <c r="C199" s="31">
        <v>1</v>
      </c>
      <c r="D199" s="31" t="s">
        <v>60</v>
      </c>
      <c r="E199" s="31" t="s">
        <v>290</v>
      </c>
      <c r="F199" s="31">
        <v>71094795</v>
      </c>
      <c r="G199" s="31" t="s">
        <v>202</v>
      </c>
      <c r="H199" s="31" t="s">
        <v>125</v>
      </c>
      <c r="I199" s="31">
        <v>67</v>
      </c>
      <c r="J199" s="31" t="s">
        <v>63</v>
      </c>
      <c r="K199" s="31" t="s">
        <v>63</v>
      </c>
      <c r="L199" s="31" t="s">
        <v>54</v>
      </c>
      <c r="M199" s="31" t="s">
        <v>54</v>
      </c>
      <c r="N199" s="31" t="s">
        <v>126</v>
      </c>
      <c r="O199" s="31" t="s">
        <v>56</v>
      </c>
      <c r="P199" s="31" t="s">
        <v>81</v>
      </c>
      <c r="Q199" s="31">
        <v>66982</v>
      </c>
      <c r="R199" s="31" t="s">
        <v>57</v>
      </c>
      <c r="S199" s="31" t="s">
        <v>65</v>
      </c>
      <c r="T199" s="31" t="s">
        <v>66</v>
      </c>
      <c r="U199" s="31" t="s">
        <v>58</v>
      </c>
      <c r="V199" s="30">
        <v>46048</v>
      </c>
      <c r="W199" s="34">
        <v>0.33333333333333331</v>
      </c>
      <c r="X199" s="34">
        <v>0.375</v>
      </c>
      <c r="Y199" s="31"/>
    </row>
    <row r="200" spans="1:25" ht="12.75" x14ac:dyDescent="0.2">
      <c r="A200" s="30">
        <v>46048</v>
      </c>
      <c r="B200" s="31" t="s">
        <v>59</v>
      </c>
      <c r="C200" s="31">
        <v>1</v>
      </c>
      <c r="D200" s="31" t="s">
        <v>60</v>
      </c>
      <c r="E200" s="31" t="s">
        <v>61</v>
      </c>
      <c r="F200" s="48">
        <v>21523144</v>
      </c>
      <c r="G200" s="31">
        <v>9145142</v>
      </c>
      <c r="H200" s="31" t="s">
        <v>62</v>
      </c>
      <c r="I200" s="31">
        <v>59</v>
      </c>
      <c r="J200" s="31" t="s">
        <v>63</v>
      </c>
      <c r="K200" s="31" t="s">
        <v>63</v>
      </c>
      <c r="L200" s="31" t="s">
        <v>54</v>
      </c>
      <c r="M200" s="31" t="s">
        <v>54</v>
      </c>
      <c r="N200" s="31" t="s">
        <v>64</v>
      </c>
      <c r="O200" s="31" t="s">
        <v>56</v>
      </c>
      <c r="P200" s="31" t="s">
        <v>50</v>
      </c>
      <c r="Q200" s="31">
        <v>90874</v>
      </c>
      <c r="R200" s="31" t="s">
        <v>57</v>
      </c>
      <c r="S200" s="31" t="s">
        <v>65</v>
      </c>
      <c r="T200" s="31" t="s">
        <v>66</v>
      </c>
      <c r="U200" s="31" t="s">
        <v>58</v>
      </c>
      <c r="V200" s="30">
        <v>46048</v>
      </c>
      <c r="W200" s="34">
        <v>0.33333333333333331</v>
      </c>
      <c r="X200" s="34">
        <v>0.34375</v>
      </c>
      <c r="Y200" s="31"/>
    </row>
    <row r="201" spans="1:25" ht="12.75" x14ac:dyDescent="0.2">
      <c r="A201" s="30">
        <v>46048</v>
      </c>
      <c r="B201" s="31" t="s">
        <v>67</v>
      </c>
      <c r="C201" s="31">
        <v>1</v>
      </c>
      <c r="D201" s="31" t="s">
        <v>50</v>
      </c>
      <c r="E201" s="31" t="s">
        <v>176</v>
      </c>
      <c r="F201" s="31">
        <v>21523144</v>
      </c>
      <c r="G201" s="31">
        <v>8368969</v>
      </c>
      <c r="H201" s="31" t="s">
        <v>62</v>
      </c>
      <c r="I201" s="31">
        <v>63</v>
      </c>
      <c r="J201" s="31" t="s">
        <v>63</v>
      </c>
      <c r="K201" s="31" t="s">
        <v>54</v>
      </c>
      <c r="L201" s="31" t="s">
        <v>54</v>
      </c>
      <c r="M201" s="31" t="s">
        <v>57</v>
      </c>
      <c r="N201" s="31" t="s">
        <v>64</v>
      </c>
      <c r="O201" s="31" t="s">
        <v>56</v>
      </c>
      <c r="P201" s="31" t="s">
        <v>50</v>
      </c>
      <c r="Q201" s="31">
        <v>90874</v>
      </c>
      <c r="R201" s="31" t="s">
        <v>57</v>
      </c>
      <c r="S201" s="31" t="s">
        <v>65</v>
      </c>
      <c r="T201" s="31" t="s">
        <v>66</v>
      </c>
      <c r="U201" s="31" t="s">
        <v>58</v>
      </c>
      <c r="V201" s="30">
        <v>46048</v>
      </c>
      <c r="W201" s="34">
        <v>0.34722222222222221</v>
      </c>
      <c r="X201" s="34">
        <v>0.3576388888888889</v>
      </c>
      <c r="Y201" s="31"/>
    </row>
    <row r="202" spans="1:25" ht="12.75" x14ac:dyDescent="0.2">
      <c r="A202" s="30">
        <v>46049</v>
      </c>
      <c r="B202" s="31" t="s">
        <v>59</v>
      </c>
      <c r="C202" s="31">
        <v>1</v>
      </c>
      <c r="D202" s="31" t="s">
        <v>50</v>
      </c>
      <c r="E202" s="31" t="s">
        <v>176</v>
      </c>
      <c r="F202" s="31">
        <v>21523144</v>
      </c>
      <c r="G202" s="31">
        <v>10882673</v>
      </c>
      <c r="H202" s="31" t="s">
        <v>177</v>
      </c>
      <c r="I202" s="31">
        <v>49</v>
      </c>
      <c r="J202" s="31" t="s">
        <v>50</v>
      </c>
      <c r="K202" s="31" t="s">
        <v>58</v>
      </c>
      <c r="L202" s="31" t="s">
        <v>58</v>
      </c>
      <c r="M202" s="31" t="s">
        <v>57</v>
      </c>
      <c r="N202" s="31" t="s">
        <v>64</v>
      </c>
      <c r="O202" s="31" t="s">
        <v>56</v>
      </c>
      <c r="P202" s="31" t="s">
        <v>50</v>
      </c>
      <c r="Q202" s="31">
        <v>90874</v>
      </c>
      <c r="R202" s="31" t="s">
        <v>57</v>
      </c>
      <c r="S202" s="31" t="s">
        <v>65</v>
      </c>
      <c r="T202" s="31" t="s">
        <v>66</v>
      </c>
      <c r="U202" s="31" t="s">
        <v>58</v>
      </c>
      <c r="V202" s="30">
        <v>46049</v>
      </c>
      <c r="W202" s="34">
        <v>0.40972222222222221</v>
      </c>
      <c r="X202" s="34">
        <v>0.44444444444444442</v>
      </c>
      <c r="Y202" s="31"/>
    </row>
    <row r="203" spans="1:25" ht="12.75" x14ac:dyDescent="0.2">
      <c r="A203" s="30">
        <v>46049</v>
      </c>
      <c r="B203" s="31" t="s">
        <v>59</v>
      </c>
      <c r="C203" s="31">
        <v>1</v>
      </c>
      <c r="D203" s="31" t="s">
        <v>60</v>
      </c>
      <c r="E203" s="31" t="s">
        <v>291</v>
      </c>
      <c r="F203" s="31" t="s">
        <v>292</v>
      </c>
      <c r="G203" s="31">
        <v>43294995</v>
      </c>
      <c r="H203" s="31" t="s">
        <v>125</v>
      </c>
      <c r="I203" s="31">
        <v>61</v>
      </c>
      <c r="J203" s="31" t="s">
        <v>50</v>
      </c>
      <c r="K203" s="31" t="s">
        <v>53</v>
      </c>
      <c r="L203" s="31" t="s">
        <v>58</v>
      </c>
      <c r="M203" s="31" t="s">
        <v>54</v>
      </c>
      <c r="N203" s="31" t="s">
        <v>126</v>
      </c>
      <c r="O203" s="31" t="s">
        <v>56</v>
      </c>
      <c r="P203" s="31" t="s">
        <v>81</v>
      </c>
      <c r="Q203" s="31">
        <v>66982</v>
      </c>
      <c r="R203" s="31" t="s">
        <v>57</v>
      </c>
      <c r="S203" s="31" t="s">
        <v>65</v>
      </c>
      <c r="T203" s="31" t="s">
        <v>66</v>
      </c>
      <c r="U203" s="31" t="s">
        <v>58</v>
      </c>
      <c r="V203" s="30">
        <v>46049</v>
      </c>
      <c r="W203" s="34">
        <v>0.33333333333333331</v>
      </c>
      <c r="X203" s="34">
        <v>0.375</v>
      </c>
      <c r="Y203" s="31"/>
    </row>
    <row r="204" spans="1:25" ht="12.75" x14ac:dyDescent="0.2">
      <c r="A204" s="30">
        <v>46049</v>
      </c>
      <c r="B204" s="31" t="s">
        <v>67</v>
      </c>
      <c r="C204" s="31">
        <v>1</v>
      </c>
      <c r="D204" s="31" t="s">
        <v>60</v>
      </c>
      <c r="E204" s="31" t="s">
        <v>291</v>
      </c>
      <c r="F204" s="31" t="s">
        <v>292</v>
      </c>
      <c r="G204" s="48">
        <v>29674084</v>
      </c>
      <c r="H204" s="31" t="s">
        <v>125</v>
      </c>
      <c r="I204" s="31">
        <v>50</v>
      </c>
      <c r="J204" s="31" t="s">
        <v>50</v>
      </c>
      <c r="K204" s="31" t="s">
        <v>53</v>
      </c>
      <c r="L204" s="31" t="s">
        <v>58</v>
      </c>
      <c r="M204" s="31" t="s">
        <v>54</v>
      </c>
      <c r="N204" s="31" t="s">
        <v>126</v>
      </c>
      <c r="O204" s="31" t="s">
        <v>56</v>
      </c>
      <c r="P204" s="31" t="s">
        <v>81</v>
      </c>
      <c r="Q204" s="31">
        <v>66.981999999999999</v>
      </c>
      <c r="R204" s="31" t="s">
        <v>57</v>
      </c>
      <c r="S204" s="31" t="s">
        <v>65</v>
      </c>
      <c r="T204" s="31" t="s">
        <v>66</v>
      </c>
      <c r="U204" s="31" t="s">
        <v>58</v>
      </c>
      <c r="V204" s="30">
        <v>46049</v>
      </c>
      <c r="W204" s="34">
        <v>0.375</v>
      </c>
      <c r="X204" s="34">
        <v>0.41666666666666669</v>
      </c>
      <c r="Y204" s="31"/>
    </row>
    <row r="205" spans="1:25" ht="12.75" x14ac:dyDescent="0.2">
      <c r="A205" s="30">
        <v>46049</v>
      </c>
      <c r="B205" s="31" t="s">
        <v>69</v>
      </c>
      <c r="C205" s="31">
        <v>1</v>
      </c>
      <c r="D205" s="31" t="s">
        <v>60</v>
      </c>
      <c r="E205" s="31" t="s">
        <v>291</v>
      </c>
      <c r="F205" s="31" t="s">
        <v>292</v>
      </c>
      <c r="G205" s="48">
        <v>41674311</v>
      </c>
      <c r="H205" s="31" t="s">
        <v>125</v>
      </c>
      <c r="I205" s="31">
        <v>80</v>
      </c>
      <c r="J205" s="31" t="s">
        <v>50</v>
      </c>
      <c r="K205" s="31" t="s">
        <v>53</v>
      </c>
      <c r="L205" s="31" t="s">
        <v>58</v>
      </c>
      <c r="M205" s="31" t="s">
        <v>54</v>
      </c>
      <c r="N205" s="31" t="s">
        <v>126</v>
      </c>
      <c r="O205" s="31" t="s">
        <v>56</v>
      </c>
      <c r="P205" s="31" t="s">
        <v>81</v>
      </c>
      <c r="Q205" s="31">
        <v>66982</v>
      </c>
      <c r="R205" s="31" t="s">
        <v>57</v>
      </c>
      <c r="S205" s="31" t="s">
        <v>65</v>
      </c>
      <c r="T205" s="31" t="s">
        <v>66</v>
      </c>
      <c r="U205" s="31" t="s">
        <v>58</v>
      </c>
      <c r="V205" s="30">
        <v>46049</v>
      </c>
      <c r="W205" s="34">
        <v>0.41666666666666669</v>
      </c>
      <c r="X205" s="34">
        <v>0.45833333333333331</v>
      </c>
      <c r="Y205" s="31"/>
    </row>
    <row r="206" spans="1:25" ht="12.75" x14ac:dyDescent="0.2">
      <c r="A206" s="30">
        <v>46049</v>
      </c>
      <c r="B206" s="31" t="s">
        <v>93</v>
      </c>
      <c r="C206" s="31">
        <v>1</v>
      </c>
      <c r="D206" s="31" t="s">
        <v>50</v>
      </c>
      <c r="E206" s="31" t="s">
        <v>293</v>
      </c>
      <c r="F206" s="31">
        <v>42948211</v>
      </c>
      <c r="G206" s="31">
        <v>43281473</v>
      </c>
      <c r="H206" s="31" t="s">
        <v>88</v>
      </c>
      <c r="I206" s="31">
        <v>46</v>
      </c>
      <c r="J206" s="31" t="s">
        <v>50</v>
      </c>
      <c r="K206" s="31" t="s">
        <v>53</v>
      </c>
      <c r="L206" s="31" t="s">
        <v>54</v>
      </c>
      <c r="M206" s="31" t="s">
        <v>54</v>
      </c>
      <c r="N206" s="31" t="s">
        <v>89</v>
      </c>
      <c r="O206" s="31" t="s">
        <v>56</v>
      </c>
      <c r="P206" s="31" t="s">
        <v>81</v>
      </c>
      <c r="Q206" s="31">
        <v>22842</v>
      </c>
      <c r="R206" s="31" t="s">
        <v>57</v>
      </c>
      <c r="S206" s="31" t="s">
        <v>65</v>
      </c>
      <c r="T206" s="31" t="s">
        <v>58</v>
      </c>
      <c r="U206" s="31" t="s">
        <v>58</v>
      </c>
      <c r="V206" s="30">
        <v>46049</v>
      </c>
      <c r="W206" s="34">
        <v>0.35416666666666669</v>
      </c>
      <c r="X206" s="34">
        <v>0.57986111111111116</v>
      </c>
      <c r="Y206" s="31"/>
    </row>
    <row r="207" spans="1:25" ht="12.75" x14ac:dyDescent="0.2">
      <c r="A207" s="30">
        <v>46049</v>
      </c>
      <c r="B207" s="31" t="s">
        <v>97</v>
      </c>
      <c r="C207" s="31">
        <v>1</v>
      </c>
      <c r="D207" s="31" t="s">
        <v>60</v>
      </c>
      <c r="E207" s="31" t="s">
        <v>294</v>
      </c>
      <c r="F207" s="31" t="s">
        <v>295</v>
      </c>
      <c r="G207" s="31">
        <v>40868130</v>
      </c>
      <c r="H207" s="31" t="s">
        <v>73</v>
      </c>
      <c r="I207" s="31">
        <v>45</v>
      </c>
      <c r="J207" s="31" t="s">
        <v>63</v>
      </c>
      <c r="K207" s="31" t="s">
        <v>103</v>
      </c>
      <c r="L207" s="31" t="s">
        <v>54</v>
      </c>
      <c r="M207" s="31" t="s">
        <v>54</v>
      </c>
      <c r="N207" s="31" t="s">
        <v>96</v>
      </c>
      <c r="O207" s="31" t="s">
        <v>56</v>
      </c>
      <c r="P207" s="31" t="s">
        <v>81</v>
      </c>
      <c r="Q207" s="31">
        <v>29870</v>
      </c>
      <c r="R207" s="31" t="s">
        <v>57</v>
      </c>
      <c r="S207" s="31" t="s">
        <v>65</v>
      </c>
      <c r="T207" s="31" t="s">
        <v>58</v>
      </c>
      <c r="U207" s="31" t="s">
        <v>58</v>
      </c>
      <c r="V207" s="30">
        <v>46049</v>
      </c>
      <c r="W207" s="34">
        <v>0.60416666666666663</v>
      </c>
      <c r="X207" s="34">
        <v>0.70486111111111116</v>
      </c>
      <c r="Y207" s="31"/>
    </row>
    <row r="208" spans="1:25" ht="12.75" x14ac:dyDescent="0.2">
      <c r="A208" s="30">
        <v>46049</v>
      </c>
      <c r="B208" s="31" t="s">
        <v>100</v>
      </c>
      <c r="C208" s="31">
        <v>1</v>
      </c>
      <c r="D208" s="31" t="s">
        <v>60</v>
      </c>
      <c r="E208" s="31" t="s">
        <v>294</v>
      </c>
      <c r="F208" s="31" t="s">
        <v>295</v>
      </c>
      <c r="G208" s="31">
        <v>74948843</v>
      </c>
      <c r="H208" s="31" t="s">
        <v>73</v>
      </c>
      <c r="I208" s="31">
        <v>21</v>
      </c>
      <c r="J208" s="31" t="s">
        <v>50</v>
      </c>
      <c r="K208" s="31" t="s">
        <v>60</v>
      </c>
      <c r="L208" s="31" t="s">
        <v>54</v>
      </c>
      <c r="M208" s="31" t="s">
        <v>54</v>
      </c>
      <c r="N208" s="31" t="s">
        <v>96</v>
      </c>
      <c r="O208" s="31" t="s">
        <v>56</v>
      </c>
      <c r="P208" s="31" t="s">
        <v>81</v>
      </c>
      <c r="Q208" s="31">
        <v>29870</v>
      </c>
      <c r="R208" s="31" t="s">
        <v>57</v>
      </c>
      <c r="S208" s="31" t="s">
        <v>65</v>
      </c>
      <c r="T208" s="31" t="s">
        <v>58</v>
      </c>
      <c r="U208" s="31" t="s">
        <v>58</v>
      </c>
      <c r="V208" s="30">
        <v>46049</v>
      </c>
      <c r="W208" s="34">
        <v>0.71527777777777779</v>
      </c>
      <c r="X208" s="34">
        <v>0.77083333333333337</v>
      </c>
      <c r="Y208" s="31"/>
    </row>
    <row r="209" spans="1:25" ht="12.75" x14ac:dyDescent="0.2">
      <c r="A209" s="30">
        <v>46049</v>
      </c>
      <c r="B209" s="31" t="s">
        <v>59</v>
      </c>
      <c r="C209" s="31">
        <v>1</v>
      </c>
      <c r="D209" s="31" t="s">
        <v>60</v>
      </c>
      <c r="E209" s="31" t="s">
        <v>296</v>
      </c>
      <c r="F209" s="48">
        <v>7747742</v>
      </c>
      <c r="G209" s="31">
        <v>46062518</v>
      </c>
      <c r="H209" s="31" t="s">
        <v>297</v>
      </c>
      <c r="I209" s="31">
        <v>36</v>
      </c>
      <c r="J209" s="31" t="s">
        <v>63</v>
      </c>
      <c r="K209" s="31" t="s">
        <v>53</v>
      </c>
      <c r="L209" s="31" t="s">
        <v>76</v>
      </c>
      <c r="M209" s="31" t="s">
        <v>54</v>
      </c>
      <c r="N209" s="31" t="s">
        <v>298</v>
      </c>
      <c r="O209" s="31" t="s">
        <v>56</v>
      </c>
      <c r="P209" s="31" t="s">
        <v>81</v>
      </c>
      <c r="Q209" s="31">
        <v>59510</v>
      </c>
      <c r="R209" s="31" t="s">
        <v>57</v>
      </c>
      <c r="S209" s="31" t="s">
        <v>65</v>
      </c>
      <c r="T209" s="31" t="s">
        <v>58</v>
      </c>
      <c r="U209" s="31" t="s">
        <v>58</v>
      </c>
      <c r="V209" s="30">
        <v>46049</v>
      </c>
      <c r="W209" s="34">
        <v>0.33333333333333331</v>
      </c>
      <c r="X209" s="34">
        <v>0.4375</v>
      </c>
      <c r="Y209" s="31"/>
    </row>
    <row r="210" spans="1:25" ht="12.75" x14ac:dyDescent="0.2">
      <c r="A210" s="30">
        <v>46049</v>
      </c>
      <c r="B210" s="31" t="s">
        <v>67</v>
      </c>
      <c r="C210" s="31">
        <v>1</v>
      </c>
      <c r="D210" s="31" t="s">
        <v>50</v>
      </c>
      <c r="E210" s="31" t="s">
        <v>85</v>
      </c>
      <c r="F210" s="31">
        <v>43527739</v>
      </c>
      <c r="G210" s="31">
        <v>21786580</v>
      </c>
      <c r="H210" s="31" t="s">
        <v>83</v>
      </c>
      <c r="I210" s="31">
        <v>65</v>
      </c>
      <c r="J210" s="31" t="s">
        <v>50</v>
      </c>
      <c r="K210" s="31" t="s">
        <v>103</v>
      </c>
      <c r="L210" s="31" t="s">
        <v>54</v>
      </c>
      <c r="M210" s="31" t="s">
        <v>54</v>
      </c>
      <c r="N210" s="31" t="s">
        <v>84</v>
      </c>
      <c r="O210" s="31" t="s">
        <v>56</v>
      </c>
      <c r="P210" s="31" t="s">
        <v>81</v>
      </c>
      <c r="Q210" s="31">
        <v>52601</v>
      </c>
      <c r="R210" s="31" t="s">
        <v>57</v>
      </c>
      <c r="S210" s="31" t="s">
        <v>65</v>
      </c>
      <c r="T210" s="31" t="s">
        <v>58</v>
      </c>
      <c r="U210" s="31" t="s">
        <v>58</v>
      </c>
      <c r="V210" s="30">
        <v>46049</v>
      </c>
      <c r="W210" s="34">
        <v>0.45833333333333331</v>
      </c>
      <c r="X210" s="34">
        <v>0.58333333333333337</v>
      </c>
      <c r="Y210" s="31"/>
    </row>
    <row r="211" spans="1:25" ht="12.75" x14ac:dyDescent="0.2">
      <c r="A211" s="30">
        <v>46049</v>
      </c>
      <c r="B211" s="31" t="s">
        <v>93</v>
      </c>
      <c r="C211" s="31">
        <v>1</v>
      </c>
      <c r="D211" s="31" t="s">
        <v>60</v>
      </c>
      <c r="E211" s="31" t="s">
        <v>299</v>
      </c>
      <c r="F211" s="31">
        <v>17817616</v>
      </c>
      <c r="G211" s="31">
        <v>20066423</v>
      </c>
      <c r="H211" s="31" t="s">
        <v>83</v>
      </c>
      <c r="I211" s="31">
        <v>50</v>
      </c>
      <c r="J211" s="31" t="s">
        <v>50</v>
      </c>
      <c r="K211" s="31" t="s">
        <v>53</v>
      </c>
      <c r="L211" s="31" t="s">
        <v>76</v>
      </c>
      <c r="M211" s="31" t="s">
        <v>54</v>
      </c>
      <c r="N211" s="31" t="s">
        <v>300</v>
      </c>
      <c r="O211" s="31" t="s">
        <v>56</v>
      </c>
      <c r="P211" s="31" t="s">
        <v>81</v>
      </c>
      <c r="Q211" s="31">
        <v>50545</v>
      </c>
      <c r="R211" s="31" t="s">
        <v>57</v>
      </c>
      <c r="S211" s="31" t="s">
        <v>65</v>
      </c>
      <c r="T211" s="31" t="s">
        <v>58</v>
      </c>
      <c r="U211" s="31" t="s">
        <v>58</v>
      </c>
      <c r="V211" s="30">
        <v>46049</v>
      </c>
      <c r="W211" s="31" t="s">
        <v>301</v>
      </c>
      <c r="X211" s="34">
        <v>0.60416666666666663</v>
      </c>
      <c r="Y211" s="31"/>
    </row>
    <row r="212" spans="1:25" ht="12.75" x14ac:dyDescent="0.2">
      <c r="A212" s="30">
        <v>46049</v>
      </c>
      <c r="B212" s="31" t="s">
        <v>97</v>
      </c>
      <c r="C212" s="31">
        <v>1</v>
      </c>
      <c r="D212" s="31" t="s">
        <v>50</v>
      </c>
      <c r="E212" s="31" t="s">
        <v>302</v>
      </c>
      <c r="F212" s="31">
        <v>11915664</v>
      </c>
      <c r="G212" s="31">
        <v>42198431</v>
      </c>
      <c r="H212" s="31" t="s">
        <v>121</v>
      </c>
      <c r="I212" s="31">
        <v>76</v>
      </c>
      <c r="J212" s="31" t="s">
        <v>50</v>
      </c>
      <c r="K212" s="31" t="s">
        <v>53</v>
      </c>
      <c r="L212" s="31" t="s">
        <v>54</v>
      </c>
      <c r="M212" s="31" t="s">
        <v>54</v>
      </c>
      <c r="N212" s="31" t="s">
        <v>303</v>
      </c>
      <c r="O212" s="31" t="s">
        <v>56</v>
      </c>
      <c r="P212" s="31" t="s">
        <v>50</v>
      </c>
      <c r="Q212" s="31">
        <v>26160</v>
      </c>
      <c r="R212" s="31"/>
      <c r="S212" s="31" t="s">
        <v>65</v>
      </c>
      <c r="T212" s="31"/>
      <c r="U212" s="31" t="s">
        <v>70</v>
      </c>
      <c r="V212" s="30">
        <v>46049</v>
      </c>
      <c r="W212" s="34"/>
      <c r="X212" s="34"/>
      <c r="Y212" s="31"/>
    </row>
    <row r="213" spans="1:25" ht="12.75" x14ac:dyDescent="0.2">
      <c r="A213" s="30">
        <v>46048</v>
      </c>
      <c r="B213" s="31" t="s">
        <v>127</v>
      </c>
      <c r="C213" s="31">
        <v>1</v>
      </c>
      <c r="D213" s="31" t="s">
        <v>60</v>
      </c>
      <c r="E213" s="31" t="s">
        <v>137</v>
      </c>
      <c r="F213" s="48">
        <v>20078680</v>
      </c>
      <c r="G213" s="31">
        <v>5326619</v>
      </c>
      <c r="H213" s="31" t="s">
        <v>52</v>
      </c>
      <c r="I213" s="31">
        <v>57</v>
      </c>
      <c r="J213" s="31" t="s">
        <v>63</v>
      </c>
      <c r="K213" s="31" t="s">
        <v>63</v>
      </c>
      <c r="L213" s="31" t="s">
        <v>54</v>
      </c>
      <c r="M213" s="31" t="s">
        <v>54</v>
      </c>
      <c r="N213" s="31" t="s">
        <v>304</v>
      </c>
      <c r="O213" s="31" t="s">
        <v>56</v>
      </c>
      <c r="P213" s="31" t="s">
        <v>50</v>
      </c>
      <c r="Q213" s="31">
        <v>21390</v>
      </c>
      <c r="R213" s="31" t="s">
        <v>57</v>
      </c>
      <c r="S213" s="31" t="s">
        <v>57</v>
      </c>
      <c r="T213" s="31" t="s">
        <v>58</v>
      </c>
      <c r="U213" s="31" t="s">
        <v>58</v>
      </c>
      <c r="V213" s="30">
        <v>46048</v>
      </c>
      <c r="W213" s="34">
        <v>0.27083333333333331</v>
      </c>
      <c r="X213" s="34">
        <v>0.39583333333333331</v>
      </c>
      <c r="Y213" s="31"/>
    </row>
    <row r="214" spans="1:25" ht="12.75" x14ac:dyDescent="0.2">
      <c r="A214" s="30">
        <v>46050</v>
      </c>
      <c r="B214" s="31" t="s">
        <v>50</v>
      </c>
      <c r="C214" s="31">
        <v>1</v>
      </c>
      <c r="D214" s="31" t="s">
        <v>60</v>
      </c>
      <c r="E214" s="31" t="s">
        <v>61</v>
      </c>
      <c r="F214" s="48">
        <v>21523144</v>
      </c>
      <c r="G214" s="31" t="s">
        <v>217</v>
      </c>
      <c r="H214" s="31" t="s">
        <v>62</v>
      </c>
      <c r="I214" s="31">
        <v>59</v>
      </c>
      <c r="J214" s="31" t="s">
        <v>63</v>
      </c>
      <c r="K214" s="31" t="s">
        <v>63</v>
      </c>
      <c r="L214" s="31" t="s">
        <v>54</v>
      </c>
      <c r="M214" s="31" t="s">
        <v>54</v>
      </c>
      <c r="N214" s="31" t="s">
        <v>64</v>
      </c>
      <c r="O214" s="31" t="s">
        <v>56</v>
      </c>
      <c r="P214" s="31" t="s">
        <v>50</v>
      </c>
      <c r="Q214" s="31">
        <v>90874</v>
      </c>
      <c r="R214" s="31" t="s">
        <v>57</v>
      </c>
      <c r="S214" s="31" t="s">
        <v>65</v>
      </c>
      <c r="T214" s="31" t="s">
        <v>66</v>
      </c>
      <c r="U214" s="31" t="s">
        <v>58</v>
      </c>
      <c r="V214" s="30">
        <v>46050</v>
      </c>
      <c r="W214" s="34">
        <v>0.33333333333333331</v>
      </c>
      <c r="X214" s="34">
        <v>0.34375</v>
      </c>
      <c r="Y214" s="31"/>
    </row>
    <row r="215" spans="1:25" ht="12.75" x14ac:dyDescent="0.2">
      <c r="A215" s="30">
        <v>46050</v>
      </c>
      <c r="B215" s="31" t="s">
        <v>50</v>
      </c>
      <c r="C215" s="31">
        <v>1</v>
      </c>
      <c r="D215" s="31" t="s">
        <v>60</v>
      </c>
      <c r="E215" s="31" t="s">
        <v>61</v>
      </c>
      <c r="F215" s="31">
        <v>21523144</v>
      </c>
      <c r="G215" s="31">
        <v>47472877</v>
      </c>
      <c r="H215" s="31" t="s">
        <v>62</v>
      </c>
      <c r="I215" s="31">
        <v>32</v>
      </c>
      <c r="J215" s="31" t="s">
        <v>63</v>
      </c>
      <c r="K215" s="31" t="s">
        <v>63</v>
      </c>
      <c r="L215" s="31" t="s">
        <v>54</v>
      </c>
      <c r="M215" s="31" t="s">
        <v>54</v>
      </c>
      <c r="N215" s="31" t="s">
        <v>64</v>
      </c>
      <c r="O215" s="31" t="s">
        <v>56</v>
      </c>
      <c r="P215" s="31" t="s">
        <v>50</v>
      </c>
      <c r="Q215" s="31">
        <v>90874</v>
      </c>
      <c r="R215" s="31" t="s">
        <v>57</v>
      </c>
      <c r="S215" s="31" t="s">
        <v>65</v>
      </c>
      <c r="T215" s="31" t="s">
        <v>66</v>
      </c>
      <c r="U215" s="31" t="s">
        <v>58</v>
      </c>
      <c r="V215" s="30">
        <v>46050</v>
      </c>
      <c r="W215" s="34">
        <v>0.34375</v>
      </c>
      <c r="X215" s="34">
        <v>0.35416666666666669</v>
      </c>
      <c r="Y215" s="31"/>
    </row>
    <row r="216" spans="1:25" ht="12.75" x14ac:dyDescent="0.2">
      <c r="A216" s="30">
        <v>46050</v>
      </c>
      <c r="B216" s="31" t="s">
        <v>50</v>
      </c>
      <c r="C216" s="31">
        <v>1</v>
      </c>
      <c r="D216" s="31" t="s">
        <v>60</v>
      </c>
      <c r="E216" s="31" t="s">
        <v>61</v>
      </c>
      <c r="F216" s="31">
        <v>21523144</v>
      </c>
      <c r="G216" s="31" t="s">
        <v>90</v>
      </c>
      <c r="H216" s="31" t="s">
        <v>62</v>
      </c>
      <c r="I216" s="31">
        <v>53</v>
      </c>
      <c r="J216" s="31" t="s">
        <v>63</v>
      </c>
      <c r="K216" s="31" t="s">
        <v>63</v>
      </c>
      <c r="L216" s="31" t="s">
        <v>54</v>
      </c>
      <c r="M216" s="31" t="s">
        <v>54</v>
      </c>
      <c r="N216" s="31" t="s">
        <v>64</v>
      </c>
      <c r="O216" s="31" t="s">
        <v>56</v>
      </c>
      <c r="P216" s="31" t="s">
        <v>50</v>
      </c>
      <c r="Q216" s="31">
        <v>90874</v>
      </c>
      <c r="R216" s="31" t="s">
        <v>57</v>
      </c>
      <c r="S216" s="31" t="s">
        <v>65</v>
      </c>
      <c r="T216" s="31" t="s">
        <v>66</v>
      </c>
      <c r="U216" s="31" t="s">
        <v>58</v>
      </c>
      <c r="V216" s="30">
        <v>46050</v>
      </c>
      <c r="W216" s="34">
        <v>0.35416666666666669</v>
      </c>
      <c r="X216" s="34">
        <v>0.36458333333333331</v>
      </c>
    </row>
    <row r="217" spans="1:25" ht="12.75" x14ac:dyDescent="0.2">
      <c r="A217" s="30">
        <v>46050</v>
      </c>
      <c r="B217" s="31" t="s">
        <v>59</v>
      </c>
      <c r="C217" s="31">
        <v>1</v>
      </c>
      <c r="D217" s="31" t="s">
        <v>60</v>
      </c>
      <c r="E217" s="31" t="s">
        <v>291</v>
      </c>
      <c r="F217" s="31" t="s">
        <v>178</v>
      </c>
      <c r="G217" s="31">
        <v>21787997</v>
      </c>
      <c r="H217" s="31" t="s">
        <v>125</v>
      </c>
      <c r="I217" s="31">
        <v>67</v>
      </c>
      <c r="J217" s="31" t="s">
        <v>50</v>
      </c>
      <c r="K217" s="31" t="s">
        <v>53</v>
      </c>
      <c r="L217" s="31" t="s">
        <v>58</v>
      </c>
      <c r="M217" s="31" t="s">
        <v>54</v>
      </c>
      <c r="N217" s="31" t="s">
        <v>126</v>
      </c>
      <c r="O217" s="31" t="s">
        <v>56</v>
      </c>
      <c r="P217" s="31" t="s">
        <v>81</v>
      </c>
      <c r="Q217" s="31">
        <v>66170</v>
      </c>
      <c r="R217" s="31" t="s">
        <v>57</v>
      </c>
      <c r="S217" s="31" t="s">
        <v>65</v>
      </c>
      <c r="T217" s="31" t="s">
        <v>66</v>
      </c>
      <c r="U217" s="31" t="s">
        <v>58</v>
      </c>
      <c r="V217" s="30">
        <v>46050</v>
      </c>
      <c r="W217" s="34">
        <v>0.33333333333333331</v>
      </c>
      <c r="X217" s="34">
        <v>0.375</v>
      </c>
    </row>
    <row r="218" spans="1:25" ht="12.75" x14ac:dyDescent="0.2">
      <c r="A218" s="30">
        <v>46050</v>
      </c>
      <c r="B218" s="31" t="s">
        <v>67</v>
      </c>
      <c r="C218" s="31">
        <v>1</v>
      </c>
      <c r="D218" s="31" t="s">
        <v>60</v>
      </c>
      <c r="E218" s="31" t="s">
        <v>291</v>
      </c>
      <c r="F218" s="31" t="s">
        <v>178</v>
      </c>
      <c r="G218" s="31" t="s">
        <v>305</v>
      </c>
      <c r="H218" s="31" t="s">
        <v>125</v>
      </c>
      <c r="I218" s="31">
        <v>67</v>
      </c>
      <c r="J218" s="31" t="s">
        <v>63</v>
      </c>
      <c r="K218" s="31" t="s">
        <v>63</v>
      </c>
      <c r="L218" s="31" t="s">
        <v>54</v>
      </c>
      <c r="M218" s="31" t="s">
        <v>54</v>
      </c>
      <c r="N218" s="31" t="s">
        <v>126</v>
      </c>
      <c r="O218" s="31" t="s">
        <v>56</v>
      </c>
      <c r="P218" s="31" t="s">
        <v>81</v>
      </c>
      <c r="Q218" s="31">
        <v>66982</v>
      </c>
      <c r="R218" s="31" t="s">
        <v>57</v>
      </c>
      <c r="S218" s="31" t="s">
        <v>65</v>
      </c>
      <c r="T218" s="31" t="s">
        <v>66</v>
      </c>
      <c r="U218" s="31" t="s">
        <v>58</v>
      </c>
      <c r="V218" s="30">
        <v>46050</v>
      </c>
      <c r="W218" s="34">
        <v>0.375</v>
      </c>
      <c r="X218" s="34">
        <v>0.41666666666666669</v>
      </c>
    </row>
    <row r="219" spans="1:25" ht="12.75" x14ac:dyDescent="0.2">
      <c r="A219" s="30">
        <v>46050</v>
      </c>
      <c r="B219" s="31" t="s">
        <v>93</v>
      </c>
      <c r="C219" s="31">
        <v>1</v>
      </c>
      <c r="D219" s="31" t="s">
        <v>60</v>
      </c>
      <c r="E219" s="31" t="s">
        <v>306</v>
      </c>
      <c r="F219" s="31">
        <v>25500305</v>
      </c>
      <c r="G219" s="31">
        <v>41097432</v>
      </c>
      <c r="H219" s="31" t="s">
        <v>115</v>
      </c>
      <c r="I219" s="31">
        <v>48</v>
      </c>
      <c r="J219" s="31" t="s">
        <v>50</v>
      </c>
      <c r="K219" s="31" t="s">
        <v>103</v>
      </c>
      <c r="L219" s="31" t="s">
        <v>76</v>
      </c>
      <c r="M219" s="31" t="s">
        <v>54</v>
      </c>
      <c r="N219" s="31" t="s">
        <v>307</v>
      </c>
      <c r="O219" s="31" t="s">
        <v>56</v>
      </c>
      <c r="P219" s="31" t="s">
        <v>50</v>
      </c>
      <c r="Q219" s="31">
        <v>32140</v>
      </c>
      <c r="R219" s="31" t="s">
        <v>57</v>
      </c>
      <c r="S219" s="31" t="s">
        <v>65</v>
      </c>
      <c r="T219" s="31" t="s">
        <v>58</v>
      </c>
      <c r="U219" s="31" t="s">
        <v>58</v>
      </c>
      <c r="V219" s="30">
        <v>46050</v>
      </c>
      <c r="W219" s="34">
        <v>0.375</v>
      </c>
      <c r="X219" s="49">
        <v>46155</v>
      </c>
    </row>
    <row r="220" spans="1:25" ht="12.75" x14ac:dyDescent="0.2">
      <c r="A220" s="30">
        <v>46050</v>
      </c>
      <c r="B220" s="31" t="s">
        <v>93</v>
      </c>
      <c r="C220" s="31">
        <v>1</v>
      </c>
      <c r="D220" s="31" t="s">
        <v>60</v>
      </c>
      <c r="E220" s="31" t="s">
        <v>108</v>
      </c>
      <c r="F220" s="31">
        <v>25542321</v>
      </c>
      <c r="G220" s="31">
        <v>7241333</v>
      </c>
      <c r="H220" s="31" t="s">
        <v>52</v>
      </c>
      <c r="I220" s="31">
        <v>78</v>
      </c>
      <c r="J220" s="31" t="s">
        <v>63</v>
      </c>
      <c r="K220" s="31" t="s">
        <v>63</v>
      </c>
      <c r="L220" s="31" t="s">
        <v>54</v>
      </c>
      <c r="M220" s="31" t="s">
        <v>54</v>
      </c>
      <c r="N220" s="31" t="s">
        <v>308</v>
      </c>
      <c r="O220" s="31" t="s">
        <v>56</v>
      </c>
      <c r="P220" s="31" t="s">
        <v>81</v>
      </c>
      <c r="Q220" s="31">
        <v>49565</v>
      </c>
      <c r="R220" s="31" t="s">
        <v>57</v>
      </c>
      <c r="S220" s="31" t="s">
        <v>65</v>
      </c>
      <c r="T220" s="31" t="s">
        <v>58</v>
      </c>
      <c r="U220" s="31" t="s">
        <v>58</v>
      </c>
      <c r="V220" s="30">
        <v>46050</v>
      </c>
      <c r="W220" s="34">
        <v>0.45833333333333331</v>
      </c>
      <c r="X220" s="34">
        <v>0.54166666666666663</v>
      </c>
    </row>
    <row r="221" spans="1:25" ht="12.75" x14ac:dyDescent="0.2">
      <c r="A221" s="30">
        <v>46050</v>
      </c>
      <c r="B221" s="31" t="s">
        <v>97</v>
      </c>
      <c r="C221" s="31">
        <v>1</v>
      </c>
      <c r="D221" s="31" t="s">
        <v>60</v>
      </c>
      <c r="E221" s="31" t="s">
        <v>159</v>
      </c>
      <c r="F221" s="48">
        <v>22254408</v>
      </c>
      <c r="G221" s="31">
        <v>43729324</v>
      </c>
      <c r="H221" s="31" t="s">
        <v>140</v>
      </c>
      <c r="I221" s="31">
        <v>58</v>
      </c>
      <c r="J221" s="31" t="s">
        <v>50</v>
      </c>
      <c r="K221" s="31" t="s">
        <v>53</v>
      </c>
      <c r="L221" s="31" t="s">
        <v>58</v>
      </c>
      <c r="M221" s="31" t="s">
        <v>54</v>
      </c>
      <c r="N221" s="31" t="s">
        <v>308</v>
      </c>
      <c r="O221" s="31" t="s">
        <v>56</v>
      </c>
      <c r="P221" s="31" t="s">
        <v>81</v>
      </c>
      <c r="Q221" s="31">
        <v>49565</v>
      </c>
      <c r="R221" s="31" t="s">
        <v>57</v>
      </c>
      <c r="S221" s="31" t="s">
        <v>65</v>
      </c>
      <c r="T221" s="31" t="s">
        <v>58</v>
      </c>
      <c r="U221" s="31" t="s">
        <v>58</v>
      </c>
      <c r="V221" s="30">
        <v>46050</v>
      </c>
      <c r="W221" s="31" t="s">
        <v>309</v>
      </c>
      <c r="X221" s="34">
        <v>0.60416666666666663</v>
      </c>
    </row>
    <row r="222" spans="1:25" ht="12.75" x14ac:dyDescent="0.2">
      <c r="A222" s="30">
        <v>46050</v>
      </c>
      <c r="B222" s="31" t="s">
        <v>100</v>
      </c>
      <c r="C222" s="31">
        <v>1</v>
      </c>
      <c r="D222" s="31" t="s">
        <v>60</v>
      </c>
      <c r="E222" s="31" t="s">
        <v>152</v>
      </c>
      <c r="F222" s="31" t="s">
        <v>153</v>
      </c>
      <c r="G222" s="31">
        <v>9924868</v>
      </c>
      <c r="H222" s="31" t="s">
        <v>52</v>
      </c>
      <c r="I222" s="31">
        <v>66</v>
      </c>
      <c r="J222" s="31" t="s">
        <v>50</v>
      </c>
      <c r="K222" s="31" t="s">
        <v>103</v>
      </c>
      <c r="L222" s="31" t="s">
        <v>58</v>
      </c>
      <c r="M222" s="31" t="s">
        <v>54</v>
      </c>
      <c r="N222" s="31" t="s">
        <v>310</v>
      </c>
      <c r="O222" s="31" t="s">
        <v>56</v>
      </c>
      <c r="P222" s="31" t="s">
        <v>81</v>
      </c>
      <c r="Q222" s="31">
        <v>27327</v>
      </c>
      <c r="R222" s="31" t="s">
        <v>57</v>
      </c>
      <c r="S222" s="31" t="s">
        <v>65</v>
      </c>
      <c r="T222" s="31" t="s">
        <v>58</v>
      </c>
      <c r="U222" s="31" t="s">
        <v>58</v>
      </c>
      <c r="V222" s="30">
        <v>46050</v>
      </c>
      <c r="W222" s="34">
        <v>0.625</v>
      </c>
      <c r="X222" s="34">
        <v>0.70833333333333337</v>
      </c>
    </row>
    <row r="223" spans="1:25" ht="12.75" x14ac:dyDescent="0.2">
      <c r="A223" s="30">
        <v>46050</v>
      </c>
      <c r="B223" s="31" t="s">
        <v>141</v>
      </c>
      <c r="C223" s="31">
        <v>1</v>
      </c>
      <c r="D223" s="31" t="s">
        <v>60</v>
      </c>
      <c r="E223" s="31" t="s">
        <v>159</v>
      </c>
      <c r="F223" s="48">
        <v>22254408</v>
      </c>
      <c r="G223" s="31">
        <v>16587598</v>
      </c>
      <c r="H223" s="31" t="s">
        <v>140</v>
      </c>
      <c r="I223" s="31">
        <v>58</v>
      </c>
      <c r="J223" s="31" t="s">
        <v>50</v>
      </c>
      <c r="K223" s="31" t="s">
        <v>103</v>
      </c>
      <c r="L223" s="31" t="s">
        <v>58</v>
      </c>
      <c r="M223" s="31" t="s">
        <v>54</v>
      </c>
      <c r="N223" s="31" t="s">
        <v>311</v>
      </c>
      <c r="O223" s="31" t="s">
        <v>56</v>
      </c>
      <c r="P223" s="31" t="s">
        <v>81</v>
      </c>
      <c r="Q223" s="31">
        <v>49565</v>
      </c>
      <c r="R223" s="31" t="s">
        <v>57</v>
      </c>
      <c r="S223" s="31" t="s">
        <v>65</v>
      </c>
      <c r="T223" s="31" t="s">
        <v>58</v>
      </c>
      <c r="U223" s="31" t="s">
        <v>58</v>
      </c>
      <c r="V223" s="30">
        <v>46050</v>
      </c>
      <c r="W223" s="34">
        <v>0.72916666666666663</v>
      </c>
      <c r="X223" s="34">
        <v>0.79166666666666663</v>
      </c>
    </row>
    <row r="224" spans="1:25" ht="12.75" x14ac:dyDescent="0.2">
      <c r="A224" s="30">
        <v>46050</v>
      </c>
      <c r="B224" s="31" t="s">
        <v>59</v>
      </c>
      <c r="C224" s="31">
        <v>1</v>
      </c>
      <c r="D224" s="31" t="s">
        <v>50</v>
      </c>
      <c r="E224" s="31" t="s">
        <v>78</v>
      </c>
      <c r="F224" s="31">
        <v>43403659</v>
      </c>
      <c r="G224" s="31">
        <v>73190227</v>
      </c>
      <c r="H224" s="31" t="s">
        <v>224</v>
      </c>
      <c r="I224" s="31">
        <v>20</v>
      </c>
      <c r="J224" s="31" t="s">
        <v>50</v>
      </c>
      <c r="K224" s="31" t="s">
        <v>60</v>
      </c>
      <c r="L224" s="31" t="s">
        <v>76</v>
      </c>
      <c r="M224" s="31" t="s">
        <v>54</v>
      </c>
      <c r="N224" s="31" t="s">
        <v>80</v>
      </c>
      <c r="O224" s="31" t="s">
        <v>56</v>
      </c>
      <c r="P224" s="31" t="s">
        <v>50</v>
      </c>
      <c r="Q224" s="31">
        <v>30520</v>
      </c>
      <c r="R224" s="31" t="s">
        <v>57</v>
      </c>
      <c r="S224" s="31" t="s">
        <v>65</v>
      </c>
      <c r="T224" s="31" t="s">
        <v>66</v>
      </c>
      <c r="U224" s="31" t="s">
        <v>58</v>
      </c>
      <c r="V224" s="30">
        <v>46050</v>
      </c>
      <c r="W224" s="34">
        <v>0.33333333333333331</v>
      </c>
      <c r="X224" s="34">
        <v>0.47916666666666669</v>
      </c>
    </row>
    <row r="225" spans="1:24" ht="12.75" x14ac:dyDescent="0.2">
      <c r="A225" s="30">
        <v>46050</v>
      </c>
      <c r="B225" s="31" t="s">
        <v>59</v>
      </c>
      <c r="C225" s="31">
        <v>1</v>
      </c>
      <c r="D225" s="31" t="s">
        <v>50</v>
      </c>
      <c r="E225" s="31" t="s">
        <v>98</v>
      </c>
      <c r="F225" s="31">
        <v>44897100</v>
      </c>
      <c r="G225" s="31">
        <v>73081022</v>
      </c>
      <c r="H225" s="31" t="s">
        <v>73</v>
      </c>
      <c r="I225" s="31">
        <v>25</v>
      </c>
      <c r="J225" s="31" t="s">
        <v>63</v>
      </c>
      <c r="K225" s="31" t="s">
        <v>63</v>
      </c>
      <c r="L225" s="31" t="s">
        <v>54</v>
      </c>
      <c r="M225" s="31" t="s">
        <v>54</v>
      </c>
      <c r="N225" s="31" t="s">
        <v>312</v>
      </c>
      <c r="O225" s="31" t="s">
        <v>56</v>
      </c>
      <c r="P225" s="31" t="s">
        <v>81</v>
      </c>
      <c r="Q225" s="31">
        <v>28290</v>
      </c>
      <c r="R225" s="31" t="s">
        <v>57</v>
      </c>
      <c r="S225" s="31" t="s">
        <v>65</v>
      </c>
      <c r="T225" s="31" t="s">
        <v>58</v>
      </c>
      <c r="U225" s="31" t="s">
        <v>58</v>
      </c>
      <c r="V225" s="30">
        <v>46050</v>
      </c>
      <c r="W225" s="34">
        <v>0.33333333333333331</v>
      </c>
      <c r="X225" s="34">
        <v>0.45833333333333331</v>
      </c>
    </row>
    <row r="226" spans="1:24" ht="12.75" x14ac:dyDescent="0.2">
      <c r="A226" s="30">
        <v>46050</v>
      </c>
      <c r="B226" s="31" t="s">
        <v>67</v>
      </c>
      <c r="C226" s="31">
        <v>1</v>
      </c>
      <c r="D226" s="31" t="s">
        <v>50</v>
      </c>
      <c r="E226" s="31" t="s">
        <v>98</v>
      </c>
      <c r="F226" s="31">
        <v>44897100</v>
      </c>
      <c r="G226" s="31">
        <v>1101080</v>
      </c>
      <c r="H226" s="31" t="s">
        <v>73</v>
      </c>
      <c r="I226" s="31">
        <v>51</v>
      </c>
      <c r="J226" s="31" t="s">
        <v>63</v>
      </c>
      <c r="K226" s="31" t="s">
        <v>63</v>
      </c>
      <c r="L226" s="31" t="s">
        <v>54</v>
      </c>
      <c r="M226" s="31" t="s">
        <v>54</v>
      </c>
      <c r="N226" s="31" t="s">
        <v>313</v>
      </c>
      <c r="O226" s="31" t="s">
        <v>56</v>
      </c>
      <c r="P226" s="31" t="s">
        <v>81</v>
      </c>
      <c r="Q226" s="31">
        <v>27814</v>
      </c>
      <c r="R226" s="31" t="s">
        <v>57</v>
      </c>
      <c r="S226" s="31" t="s">
        <v>65</v>
      </c>
      <c r="T226" s="31" t="s">
        <v>58</v>
      </c>
      <c r="U226" s="31" t="s">
        <v>58</v>
      </c>
      <c r="V226" s="30">
        <v>46050</v>
      </c>
      <c r="W226" s="34">
        <v>0.47916666666666669</v>
      </c>
      <c r="X226" s="34">
        <v>0.58333333333333337</v>
      </c>
    </row>
    <row r="227" spans="1:24" ht="12.75" x14ac:dyDescent="0.2">
      <c r="A227" s="30">
        <v>46050</v>
      </c>
      <c r="B227" s="31" t="s">
        <v>49</v>
      </c>
      <c r="C227" s="31">
        <v>1</v>
      </c>
      <c r="D227" s="31" t="s">
        <v>60</v>
      </c>
      <c r="E227" s="31" t="s">
        <v>240</v>
      </c>
      <c r="F227" s="31">
        <v>18160488</v>
      </c>
      <c r="G227" s="31">
        <v>73555875</v>
      </c>
      <c r="H227" s="31" t="s">
        <v>52</v>
      </c>
      <c r="I227" s="31">
        <v>16</v>
      </c>
      <c r="J227" s="31" t="s">
        <v>63</v>
      </c>
      <c r="K227" s="31" t="s">
        <v>63</v>
      </c>
      <c r="L227" s="31" t="s">
        <v>54</v>
      </c>
      <c r="M227" s="31" t="s">
        <v>54</v>
      </c>
      <c r="N227" s="31" t="s">
        <v>314</v>
      </c>
      <c r="O227" s="31" t="s">
        <v>56</v>
      </c>
      <c r="P227" s="31" t="s">
        <v>81</v>
      </c>
      <c r="Q227" s="31">
        <v>44970</v>
      </c>
      <c r="R227" s="31" t="s">
        <v>57</v>
      </c>
      <c r="S227" s="31" t="s">
        <v>57</v>
      </c>
      <c r="T227" s="31" t="s">
        <v>66</v>
      </c>
      <c r="U227" s="31" t="s">
        <v>58</v>
      </c>
      <c r="V227" s="30">
        <v>46050</v>
      </c>
      <c r="W227" s="34">
        <v>0.67013888888888884</v>
      </c>
      <c r="X227" s="34">
        <v>0.76736111111111116</v>
      </c>
    </row>
    <row r="228" spans="1:24" ht="12.75" x14ac:dyDescent="0.2">
      <c r="A228" s="30">
        <v>46050</v>
      </c>
      <c r="B228" s="31" t="s">
        <v>127</v>
      </c>
      <c r="C228" s="31">
        <v>1</v>
      </c>
      <c r="D228" s="31" t="s">
        <v>60</v>
      </c>
      <c r="E228" s="31" t="s">
        <v>51</v>
      </c>
      <c r="F228" s="31">
        <v>21866455</v>
      </c>
      <c r="G228" s="31">
        <v>8379630</v>
      </c>
      <c r="H228" s="31" t="s">
        <v>140</v>
      </c>
      <c r="I228" s="31">
        <v>71</v>
      </c>
      <c r="J228" s="31" t="s">
        <v>50</v>
      </c>
      <c r="K228" s="31" t="s">
        <v>103</v>
      </c>
      <c r="L228" s="31" t="s">
        <v>58</v>
      </c>
      <c r="M228" s="31" t="s">
        <v>54</v>
      </c>
      <c r="N228" s="31" t="s">
        <v>314</v>
      </c>
      <c r="O228" s="31" t="s">
        <v>56</v>
      </c>
      <c r="P228" s="31" t="s">
        <v>81</v>
      </c>
      <c r="Q228" s="31">
        <v>44970</v>
      </c>
      <c r="R228" s="31" t="s">
        <v>57</v>
      </c>
      <c r="S228" s="31" t="s">
        <v>57</v>
      </c>
      <c r="T228" s="31" t="s">
        <v>58</v>
      </c>
      <c r="U228" s="31" t="s">
        <v>58</v>
      </c>
      <c r="V228" s="30">
        <v>46050</v>
      </c>
      <c r="W228" s="34">
        <v>6.25E-2</v>
      </c>
      <c r="X228" s="31" t="s">
        <v>315</v>
      </c>
    </row>
    <row r="229" spans="1:24" ht="12.75" x14ac:dyDescent="0.2">
      <c r="A229" s="30">
        <v>46050</v>
      </c>
      <c r="B229" s="31" t="s">
        <v>127</v>
      </c>
      <c r="C229" s="31">
        <v>1</v>
      </c>
      <c r="D229" s="31" t="s">
        <v>60</v>
      </c>
      <c r="E229" s="31" t="s">
        <v>51</v>
      </c>
      <c r="F229" s="31">
        <v>21866455</v>
      </c>
      <c r="G229" s="31">
        <v>25750050</v>
      </c>
      <c r="H229" s="31" t="s">
        <v>140</v>
      </c>
      <c r="I229" s="31">
        <v>79</v>
      </c>
      <c r="J229" s="31" t="s">
        <v>50</v>
      </c>
      <c r="K229" s="31" t="s">
        <v>103</v>
      </c>
      <c r="L229" s="31" t="s">
        <v>58</v>
      </c>
      <c r="M229" s="31" t="s">
        <v>54</v>
      </c>
      <c r="N229" s="31" t="s">
        <v>276</v>
      </c>
      <c r="O229" s="31" t="s">
        <v>56</v>
      </c>
      <c r="P229" s="31" t="s">
        <v>81</v>
      </c>
      <c r="Q229" s="31">
        <v>49000</v>
      </c>
      <c r="R229" s="31" t="s">
        <v>57</v>
      </c>
      <c r="S229" s="31" t="s">
        <v>57</v>
      </c>
      <c r="T229" s="31" t="s">
        <v>58</v>
      </c>
      <c r="U229" s="31" t="s">
        <v>58</v>
      </c>
      <c r="V229" s="30">
        <v>46050</v>
      </c>
      <c r="W229" s="31" t="s">
        <v>316</v>
      </c>
      <c r="X229" s="34">
        <v>0.41666666666666669</v>
      </c>
    </row>
    <row r="230" spans="1:24" ht="12.75" x14ac:dyDescent="0.2">
      <c r="A230" s="30">
        <v>46050</v>
      </c>
      <c r="B230" s="31" t="s">
        <v>49</v>
      </c>
      <c r="C230" s="31">
        <v>1</v>
      </c>
      <c r="D230" s="31" t="s">
        <v>60</v>
      </c>
      <c r="E230" s="31" t="s">
        <v>317</v>
      </c>
      <c r="F230" s="31">
        <v>6629739</v>
      </c>
      <c r="G230" s="31">
        <v>46212257</v>
      </c>
      <c r="H230" s="31" t="s">
        <v>297</v>
      </c>
      <c r="I230" s="31">
        <v>35</v>
      </c>
      <c r="J230" s="31" t="s">
        <v>63</v>
      </c>
      <c r="K230" s="31" t="s">
        <v>63</v>
      </c>
      <c r="L230" s="31" t="s">
        <v>54</v>
      </c>
      <c r="M230" s="31" t="s">
        <v>54</v>
      </c>
      <c r="N230" s="31" t="s">
        <v>318</v>
      </c>
      <c r="O230" s="31" t="s">
        <v>56</v>
      </c>
      <c r="P230" s="31" t="s">
        <v>50</v>
      </c>
      <c r="Q230" s="31">
        <v>58120</v>
      </c>
      <c r="R230" s="31" t="s">
        <v>57</v>
      </c>
      <c r="S230" s="31" t="s">
        <v>57</v>
      </c>
      <c r="T230" s="31" t="s">
        <v>58</v>
      </c>
      <c r="U230" s="31" t="s">
        <v>58</v>
      </c>
      <c r="V230" s="30">
        <v>46050</v>
      </c>
      <c r="W230" s="34">
        <v>0.63194444444444442</v>
      </c>
      <c r="X230" s="34">
        <v>0.68055555555555558</v>
      </c>
    </row>
    <row r="231" spans="1:24" ht="12.75" x14ac:dyDescent="0.2">
      <c r="A231" s="30">
        <v>46051</v>
      </c>
      <c r="B231" s="31" t="s">
        <v>50</v>
      </c>
      <c r="C231" s="31">
        <v>1</v>
      </c>
      <c r="D231" s="31" t="s">
        <v>50</v>
      </c>
      <c r="E231" s="31" t="s">
        <v>117</v>
      </c>
      <c r="F231" s="31">
        <v>42948211</v>
      </c>
      <c r="G231" s="31">
        <v>73770005</v>
      </c>
      <c r="H231" s="31" t="s">
        <v>88</v>
      </c>
      <c r="I231" s="31">
        <v>30</v>
      </c>
      <c r="J231" s="31" t="s">
        <v>50</v>
      </c>
      <c r="K231" s="31" t="s">
        <v>70</v>
      </c>
      <c r="L231" s="31" t="s">
        <v>54</v>
      </c>
      <c r="M231" s="31" t="s">
        <v>54</v>
      </c>
      <c r="N231" s="31" t="s">
        <v>89</v>
      </c>
      <c r="O231" s="31" t="s">
        <v>56</v>
      </c>
      <c r="P231" s="31" t="s">
        <v>81</v>
      </c>
      <c r="Q231" s="31">
        <v>22842</v>
      </c>
      <c r="R231" s="31" t="s">
        <v>57</v>
      </c>
      <c r="S231" s="31" t="s">
        <v>65</v>
      </c>
      <c r="T231" s="31" t="s">
        <v>58</v>
      </c>
      <c r="U231" s="31" t="s">
        <v>58</v>
      </c>
      <c r="V231" s="30">
        <v>46051</v>
      </c>
      <c r="W231" s="34">
        <v>0.36458333333333331</v>
      </c>
      <c r="X231" s="34">
        <v>0.51388888888888884</v>
      </c>
    </row>
    <row r="232" spans="1:24" ht="12.75" x14ac:dyDescent="0.2">
      <c r="A232" s="30">
        <v>46051</v>
      </c>
      <c r="B232" s="31" t="s">
        <v>50</v>
      </c>
      <c r="C232" s="31">
        <v>1</v>
      </c>
      <c r="D232" s="31" t="s">
        <v>60</v>
      </c>
      <c r="E232" s="31" t="s">
        <v>319</v>
      </c>
      <c r="F232" s="31">
        <v>6289238</v>
      </c>
      <c r="G232" s="31">
        <v>40792358</v>
      </c>
      <c r="H232" s="31" t="s">
        <v>188</v>
      </c>
      <c r="I232" s="31">
        <v>83</v>
      </c>
      <c r="J232" s="31" t="s">
        <v>50</v>
      </c>
      <c r="K232" s="31" t="s">
        <v>53</v>
      </c>
      <c r="L232" s="31" t="s">
        <v>54</v>
      </c>
      <c r="M232" s="31" t="s">
        <v>54</v>
      </c>
      <c r="N232" s="31" t="s">
        <v>320</v>
      </c>
      <c r="O232" s="31" t="s">
        <v>56</v>
      </c>
      <c r="P232" s="31" t="s">
        <v>81</v>
      </c>
      <c r="Q232" s="31">
        <v>11406</v>
      </c>
      <c r="R232" s="31" t="s">
        <v>57</v>
      </c>
      <c r="S232" s="31" t="s">
        <v>65</v>
      </c>
      <c r="T232" s="31" t="s">
        <v>58</v>
      </c>
      <c r="U232" s="31" t="s">
        <v>58</v>
      </c>
      <c r="V232" s="30">
        <v>46051</v>
      </c>
      <c r="W232" s="34">
        <v>0.33333333333333331</v>
      </c>
      <c r="X232" s="34">
        <v>0.45833333333333331</v>
      </c>
    </row>
    <row r="233" spans="1:24" ht="12.75" x14ac:dyDescent="0.2">
      <c r="A233" s="30">
        <v>46051</v>
      </c>
      <c r="B233" s="31" t="s">
        <v>93</v>
      </c>
      <c r="C233" s="31">
        <v>1</v>
      </c>
      <c r="D233" s="31" t="s">
        <v>60</v>
      </c>
      <c r="E233" s="31" t="s">
        <v>101</v>
      </c>
      <c r="F233" s="31">
        <v>46041788</v>
      </c>
      <c r="G233" s="31">
        <v>83376449</v>
      </c>
      <c r="H233" s="31" t="s">
        <v>73</v>
      </c>
      <c r="I233" s="31">
        <v>87</v>
      </c>
      <c r="J233" s="31" t="s">
        <v>63</v>
      </c>
      <c r="K233" s="31" t="s">
        <v>63</v>
      </c>
      <c r="L233" s="31" t="s">
        <v>54</v>
      </c>
      <c r="M233" s="31" t="s">
        <v>54</v>
      </c>
      <c r="N233" s="31" t="s">
        <v>321</v>
      </c>
      <c r="O233" s="31" t="s">
        <v>56</v>
      </c>
      <c r="P233" s="31" t="s">
        <v>81</v>
      </c>
      <c r="Q233" s="31">
        <v>27130</v>
      </c>
      <c r="S233" s="31" t="s">
        <v>65</v>
      </c>
      <c r="U233" s="31" t="s">
        <v>70</v>
      </c>
      <c r="V233" s="30">
        <v>46051</v>
      </c>
      <c r="X233" s="34"/>
    </row>
    <row r="234" spans="1:24" ht="12.75" x14ac:dyDescent="0.2">
      <c r="A234" s="30">
        <v>46051</v>
      </c>
      <c r="B234" s="31" t="s">
        <v>97</v>
      </c>
      <c r="C234" s="31">
        <v>1</v>
      </c>
      <c r="D234" s="31" t="s">
        <v>60</v>
      </c>
      <c r="E234" s="31" t="s">
        <v>101</v>
      </c>
      <c r="F234" s="31">
        <v>46041788</v>
      </c>
      <c r="G234" s="31">
        <v>44251084</v>
      </c>
      <c r="H234" s="31" t="s">
        <v>73</v>
      </c>
      <c r="I234" s="31">
        <v>63</v>
      </c>
      <c r="J234" s="31" t="s">
        <v>50</v>
      </c>
      <c r="K234" s="31" t="s">
        <v>70</v>
      </c>
      <c r="L234" s="31" t="s">
        <v>54</v>
      </c>
      <c r="M234" s="31" t="s">
        <v>54</v>
      </c>
      <c r="N234" s="31" t="s">
        <v>102</v>
      </c>
      <c r="O234" s="31" t="s">
        <v>56</v>
      </c>
      <c r="P234" s="31" t="s">
        <v>81</v>
      </c>
      <c r="Q234" s="31">
        <v>27134</v>
      </c>
      <c r="R234" s="31" t="s">
        <v>57</v>
      </c>
      <c r="S234" s="31" t="s">
        <v>65</v>
      </c>
      <c r="T234" s="31" t="s">
        <v>58</v>
      </c>
      <c r="U234" s="31" t="s">
        <v>58</v>
      </c>
      <c r="V234" s="30">
        <v>46051</v>
      </c>
      <c r="W234" s="34">
        <v>0.375</v>
      </c>
      <c r="X234" s="34">
        <v>0.5</v>
      </c>
    </row>
    <row r="235" spans="1:24" ht="12.75" x14ac:dyDescent="0.2">
      <c r="A235" s="30">
        <v>46051</v>
      </c>
      <c r="B235" s="31" t="s">
        <v>234</v>
      </c>
      <c r="C235" s="31">
        <v>1</v>
      </c>
      <c r="D235" s="31" t="s">
        <v>50</v>
      </c>
      <c r="E235" s="31" t="s">
        <v>119</v>
      </c>
      <c r="F235" s="31">
        <v>16654486</v>
      </c>
      <c r="G235" s="31">
        <v>43659967</v>
      </c>
      <c r="H235" s="31" t="s">
        <v>83</v>
      </c>
      <c r="I235" s="31">
        <v>70</v>
      </c>
      <c r="J235" s="31" t="s">
        <v>50</v>
      </c>
      <c r="K235" s="31" t="s">
        <v>53</v>
      </c>
      <c r="L235" s="31" t="s">
        <v>54</v>
      </c>
      <c r="M235" s="31" t="s">
        <v>54</v>
      </c>
      <c r="N235" s="31" t="s">
        <v>169</v>
      </c>
      <c r="O235" s="31" t="s">
        <v>56</v>
      </c>
      <c r="P235" s="31" t="s">
        <v>81</v>
      </c>
      <c r="Q235" s="31">
        <v>55866</v>
      </c>
      <c r="R235" s="31" t="s">
        <v>57</v>
      </c>
      <c r="S235" s="31" t="s">
        <v>65</v>
      </c>
      <c r="T235" s="31" t="s">
        <v>58</v>
      </c>
      <c r="U235" s="31" t="s">
        <v>58</v>
      </c>
      <c r="V235" s="30">
        <v>46051</v>
      </c>
      <c r="W235" s="34">
        <v>0.33333333333333331</v>
      </c>
      <c r="X235" s="34">
        <v>0.54166666666666663</v>
      </c>
    </row>
    <row r="236" spans="1:24" ht="12.75" x14ac:dyDescent="0.2">
      <c r="A236" s="30">
        <v>46051</v>
      </c>
      <c r="B236" s="31" t="s">
        <v>234</v>
      </c>
      <c r="C236" s="31">
        <v>1</v>
      </c>
      <c r="D236" s="31" t="s">
        <v>50</v>
      </c>
      <c r="E236" s="31" t="s">
        <v>120</v>
      </c>
      <c r="F236" s="31">
        <v>42111744</v>
      </c>
      <c r="G236" s="31">
        <v>42206649</v>
      </c>
      <c r="H236" s="31" t="s">
        <v>83</v>
      </c>
      <c r="I236" s="31">
        <v>65</v>
      </c>
      <c r="J236" s="31" t="s">
        <v>50</v>
      </c>
      <c r="K236" s="31" t="s">
        <v>103</v>
      </c>
      <c r="L236" s="31" t="s">
        <v>54</v>
      </c>
      <c r="M236" s="31" t="s">
        <v>54</v>
      </c>
      <c r="N236" s="31" t="s">
        <v>84</v>
      </c>
      <c r="O236" s="31" t="s">
        <v>56</v>
      </c>
      <c r="P236" s="31" t="s">
        <v>81</v>
      </c>
      <c r="Q236" s="31">
        <v>52601</v>
      </c>
      <c r="S236" s="31" t="s">
        <v>65</v>
      </c>
      <c r="U236" s="31" t="s">
        <v>70</v>
      </c>
      <c r="V236" s="30">
        <v>46051</v>
      </c>
      <c r="W236" s="34"/>
      <c r="X236" s="34"/>
    </row>
    <row r="237" spans="1:24" ht="12.75" x14ac:dyDescent="0.2">
      <c r="A237" s="30">
        <v>46050</v>
      </c>
      <c r="B237" s="31" t="s">
        <v>49</v>
      </c>
      <c r="C237" s="31">
        <v>1</v>
      </c>
      <c r="D237" s="31" t="s">
        <v>50</v>
      </c>
      <c r="E237" s="31" t="s">
        <v>221</v>
      </c>
      <c r="F237" s="31">
        <v>43965076</v>
      </c>
      <c r="G237" s="31">
        <v>40658099</v>
      </c>
      <c r="H237" s="31" t="s">
        <v>322</v>
      </c>
      <c r="I237" s="31">
        <v>45</v>
      </c>
      <c r="J237" s="31" t="s">
        <v>50</v>
      </c>
      <c r="K237" s="31" t="s">
        <v>53</v>
      </c>
      <c r="L237" s="31" t="s">
        <v>54</v>
      </c>
      <c r="M237" s="31" t="s">
        <v>54</v>
      </c>
      <c r="N237" s="31" t="s">
        <v>323</v>
      </c>
      <c r="O237" s="31" t="s">
        <v>56</v>
      </c>
      <c r="P237" s="31" t="s">
        <v>81</v>
      </c>
      <c r="Q237" s="31">
        <v>27650</v>
      </c>
      <c r="R237" s="31" t="s">
        <v>57</v>
      </c>
      <c r="S237" s="31" t="s">
        <v>57</v>
      </c>
      <c r="T237" s="31" t="s">
        <v>58</v>
      </c>
      <c r="U237" s="31" t="s">
        <v>58</v>
      </c>
      <c r="V237" s="30">
        <v>46050</v>
      </c>
      <c r="W237" s="34">
        <v>0.78472222222222221</v>
      </c>
      <c r="X237" s="34">
        <v>0.875</v>
      </c>
    </row>
    <row r="238" spans="1:24" ht="12.75" x14ac:dyDescent="0.2">
      <c r="A238" s="30">
        <v>46051</v>
      </c>
      <c r="B238" s="31" t="s">
        <v>127</v>
      </c>
      <c r="C238" s="31">
        <v>1</v>
      </c>
      <c r="D238" s="31" t="s">
        <v>60</v>
      </c>
      <c r="E238" s="31" t="s">
        <v>152</v>
      </c>
      <c r="F238" s="31" t="s">
        <v>153</v>
      </c>
      <c r="G238" s="31">
        <v>10129682</v>
      </c>
      <c r="H238" s="31" t="s">
        <v>324</v>
      </c>
      <c r="I238" s="31">
        <v>54</v>
      </c>
      <c r="J238" s="31" t="s">
        <v>63</v>
      </c>
      <c r="K238" s="31" t="s">
        <v>63</v>
      </c>
      <c r="L238" s="31" t="s">
        <v>54</v>
      </c>
      <c r="M238" s="31" t="s">
        <v>54</v>
      </c>
      <c r="N238" s="31" t="s">
        <v>325</v>
      </c>
      <c r="O238" s="31" t="s">
        <v>56</v>
      </c>
      <c r="P238" s="31" t="s">
        <v>81</v>
      </c>
      <c r="Q238" s="31" t="s">
        <v>326</v>
      </c>
      <c r="R238" s="31" t="s">
        <v>57</v>
      </c>
      <c r="S238" s="31" t="s">
        <v>57</v>
      </c>
      <c r="T238" s="31" t="s">
        <v>58</v>
      </c>
      <c r="U238" s="31" t="s">
        <v>58</v>
      </c>
      <c r="V238" s="30">
        <v>46051</v>
      </c>
      <c r="W238" s="34">
        <v>1.7361111111111112E-2</v>
      </c>
      <c r="X238" s="34">
        <v>0.15972222222222221</v>
      </c>
    </row>
    <row r="239" spans="1:24" ht="12.75" x14ac:dyDescent="0.2">
      <c r="A239" s="30">
        <v>46052</v>
      </c>
      <c r="B239" s="31" t="s">
        <v>59</v>
      </c>
      <c r="C239" s="31">
        <v>1</v>
      </c>
      <c r="D239" s="31" t="s">
        <v>60</v>
      </c>
      <c r="E239" s="31" t="s">
        <v>61</v>
      </c>
      <c r="F239" s="31">
        <v>21523144</v>
      </c>
      <c r="G239" s="31" t="s">
        <v>217</v>
      </c>
      <c r="H239" s="31" t="s">
        <v>62</v>
      </c>
      <c r="I239" s="31">
        <v>59</v>
      </c>
      <c r="J239" s="31" t="s">
        <v>63</v>
      </c>
      <c r="K239" s="31" t="s">
        <v>63</v>
      </c>
      <c r="L239" s="31" t="s">
        <v>54</v>
      </c>
      <c r="M239" s="31" t="s">
        <v>54</v>
      </c>
      <c r="N239" s="31" t="s">
        <v>64</v>
      </c>
      <c r="O239" s="31" t="s">
        <v>56</v>
      </c>
      <c r="P239" s="31" t="s">
        <v>50</v>
      </c>
      <c r="Q239" s="31">
        <v>90874</v>
      </c>
      <c r="R239" s="31" t="s">
        <v>57</v>
      </c>
      <c r="S239" s="31" t="s">
        <v>65</v>
      </c>
      <c r="T239" s="31" t="s">
        <v>66</v>
      </c>
      <c r="U239" s="31" t="s">
        <v>58</v>
      </c>
      <c r="V239" s="30">
        <v>46052</v>
      </c>
      <c r="W239" s="34">
        <v>0.33333333333333331</v>
      </c>
      <c r="X239" s="34">
        <v>0.34027777777777779</v>
      </c>
    </row>
    <row r="240" spans="1:24" ht="12.75" x14ac:dyDescent="0.2">
      <c r="A240" s="30">
        <v>46052</v>
      </c>
      <c r="B240" s="31" t="s">
        <v>67</v>
      </c>
      <c r="C240" s="31">
        <v>1</v>
      </c>
      <c r="D240" s="31" t="s">
        <v>60</v>
      </c>
      <c r="E240" s="31" t="s">
        <v>61</v>
      </c>
      <c r="F240" s="31">
        <v>21523144</v>
      </c>
      <c r="G240" s="31">
        <v>76540189</v>
      </c>
      <c r="H240" s="31" t="s">
        <v>62</v>
      </c>
      <c r="I240" s="31">
        <v>24</v>
      </c>
      <c r="J240" s="31" t="s">
        <v>50</v>
      </c>
      <c r="K240" s="31" t="s">
        <v>63</v>
      </c>
      <c r="L240" s="31" t="s">
        <v>54</v>
      </c>
      <c r="M240" s="31" t="s">
        <v>54</v>
      </c>
      <c r="N240" s="31" t="s">
        <v>64</v>
      </c>
      <c r="O240" s="31" t="s">
        <v>56</v>
      </c>
      <c r="P240" s="31" t="s">
        <v>50</v>
      </c>
      <c r="Q240" s="31">
        <v>90874</v>
      </c>
      <c r="S240" s="31" t="s">
        <v>65</v>
      </c>
      <c r="U240" s="31" t="s">
        <v>70</v>
      </c>
      <c r="V240" s="30">
        <v>46052</v>
      </c>
      <c r="W240" s="34"/>
      <c r="X240" s="34"/>
    </row>
    <row r="241" spans="1:24" ht="12.75" x14ac:dyDescent="0.2">
      <c r="A241" s="30">
        <v>46052</v>
      </c>
      <c r="B241" s="31" t="s">
        <v>69</v>
      </c>
      <c r="C241" s="31">
        <v>1</v>
      </c>
      <c r="D241" s="31" t="s">
        <v>60</v>
      </c>
      <c r="E241" s="31" t="s">
        <v>61</v>
      </c>
      <c r="F241" s="31">
        <v>21523144</v>
      </c>
      <c r="G241" s="31">
        <v>10882673</v>
      </c>
      <c r="H241" s="31" t="s">
        <v>62</v>
      </c>
      <c r="I241" s="31">
        <v>49</v>
      </c>
      <c r="J241" s="31" t="s">
        <v>50</v>
      </c>
      <c r="K241" s="31" t="s">
        <v>65</v>
      </c>
      <c r="L241" s="31" t="s">
        <v>54</v>
      </c>
      <c r="M241" s="31" t="s">
        <v>54</v>
      </c>
      <c r="N241" s="31" t="s">
        <v>64</v>
      </c>
      <c r="O241" s="31" t="s">
        <v>56</v>
      </c>
      <c r="P241" s="31" t="s">
        <v>50</v>
      </c>
      <c r="Q241" s="31">
        <v>90874</v>
      </c>
      <c r="R241" s="31" t="s">
        <v>57</v>
      </c>
      <c r="S241" s="31" t="s">
        <v>65</v>
      </c>
      <c r="T241" s="31" t="s">
        <v>66</v>
      </c>
      <c r="U241" s="31" t="s">
        <v>58</v>
      </c>
      <c r="V241" s="30">
        <v>46052</v>
      </c>
      <c r="W241" s="34">
        <v>0.34375</v>
      </c>
      <c r="X241" s="34">
        <v>0.35069444444444442</v>
      </c>
    </row>
    <row r="242" spans="1:24" ht="12.75" x14ac:dyDescent="0.2">
      <c r="A242" s="30">
        <v>46052</v>
      </c>
      <c r="B242" s="31" t="s">
        <v>59</v>
      </c>
      <c r="C242" s="31">
        <v>1</v>
      </c>
      <c r="D242" s="31" t="s">
        <v>60</v>
      </c>
      <c r="E242" s="31" t="s">
        <v>290</v>
      </c>
      <c r="F242" s="31">
        <v>71094795</v>
      </c>
      <c r="G242" s="31">
        <v>15280201</v>
      </c>
      <c r="H242" s="31" t="s">
        <v>125</v>
      </c>
      <c r="I242" s="31">
        <v>93</v>
      </c>
      <c r="J242" s="31" t="s">
        <v>50</v>
      </c>
      <c r="K242" s="31" t="s">
        <v>63</v>
      </c>
      <c r="L242" s="31" t="s">
        <v>54</v>
      </c>
      <c r="M242" s="31" t="s">
        <v>54</v>
      </c>
      <c r="N242" s="31" t="s">
        <v>126</v>
      </c>
      <c r="O242" s="31" t="s">
        <v>56</v>
      </c>
      <c r="P242" s="31" t="s">
        <v>81</v>
      </c>
      <c r="Q242" s="31">
        <v>66982</v>
      </c>
      <c r="R242" s="31" t="s">
        <v>57</v>
      </c>
      <c r="S242" s="31" t="s">
        <v>65</v>
      </c>
      <c r="T242" s="31" t="s">
        <v>58</v>
      </c>
      <c r="U242" s="31" t="s">
        <v>58</v>
      </c>
      <c r="V242" s="30">
        <v>46052</v>
      </c>
      <c r="W242" s="34">
        <v>0.33333333333333331</v>
      </c>
      <c r="X242" s="34">
        <v>0.375</v>
      </c>
    </row>
    <row r="243" spans="1:24" ht="12.75" x14ac:dyDescent="0.2">
      <c r="A243" s="30">
        <v>46052</v>
      </c>
      <c r="B243" s="31" t="s">
        <v>67</v>
      </c>
      <c r="C243" s="31">
        <v>1</v>
      </c>
      <c r="D243" s="31" t="s">
        <v>60</v>
      </c>
      <c r="E243" s="31" t="s">
        <v>290</v>
      </c>
      <c r="F243" s="31">
        <v>71094795</v>
      </c>
      <c r="G243" s="31" t="s">
        <v>327</v>
      </c>
      <c r="H243" s="31" t="s">
        <v>125</v>
      </c>
      <c r="I243" s="31">
        <v>65</v>
      </c>
      <c r="J243" s="31" t="s">
        <v>50</v>
      </c>
      <c r="K243" s="31" t="s">
        <v>103</v>
      </c>
      <c r="L243" s="31" t="s">
        <v>54</v>
      </c>
      <c r="M243" s="31" t="s">
        <v>54</v>
      </c>
      <c r="N243" s="31" t="s">
        <v>126</v>
      </c>
      <c r="O243" s="31" t="s">
        <v>56</v>
      </c>
      <c r="P243" s="31" t="s">
        <v>81</v>
      </c>
      <c r="Q243" s="31">
        <v>66982</v>
      </c>
      <c r="R243" s="31" t="s">
        <v>57</v>
      </c>
      <c r="S243" s="31" t="s">
        <v>65</v>
      </c>
      <c r="T243" s="31" t="s">
        <v>58</v>
      </c>
      <c r="U243" s="31" t="s">
        <v>58</v>
      </c>
      <c r="V243" s="30">
        <v>46052</v>
      </c>
      <c r="W243" s="34">
        <v>0.375</v>
      </c>
      <c r="X243" s="34">
        <v>0.41666666666666669</v>
      </c>
    </row>
    <row r="244" spans="1:24" ht="12.75" x14ac:dyDescent="0.2">
      <c r="A244" s="30">
        <v>46052</v>
      </c>
      <c r="B244" s="31" t="s">
        <v>93</v>
      </c>
      <c r="C244" s="31">
        <v>1</v>
      </c>
      <c r="D244" s="31" t="s">
        <v>60</v>
      </c>
      <c r="E244" s="31" t="s">
        <v>162</v>
      </c>
      <c r="F244" s="31" t="s">
        <v>163</v>
      </c>
      <c r="G244" s="31">
        <v>10674279</v>
      </c>
      <c r="H244" s="31" t="s">
        <v>73</v>
      </c>
      <c r="I244" s="31">
        <v>49</v>
      </c>
      <c r="J244" s="31" t="s">
        <v>50</v>
      </c>
      <c r="K244" s="31" t="s">
        <v>65</v>
      </c>
      <c r="L244" s="31" t="s">
        <v>54</v>
      </c>
      <c r="M244" s="31" t="s">
        <v>54</v>
      </c>
      <c r="N244" s="31" t="s">
        <v>102</v>
      </c>
      <c r="O244" s="31" t="s">
        <v>56</v>
      </c>
      <c r="P244" s="31" t="s">
        <v>81</v>
      </c>
      <c r="Q244" s="31">
        <v>27447</v>
      </c>
      <c r="R244" s="31" t="s">
        <v>57</v>
      </c>
      <c r="S244" s="31" t="s">
        <v>65</v>
      </c>
      <c r="T244" s="31" t="s">
        <v>58</v>
      </c>
      <c r="U244" s="31" t="s">
        <v>58</v>
      </c>
      <c r="V244" s="30">
        <v>46052</v>
      </c>
      <c r="W244" s="34">
        <v>0.34722222222222221</v>
      </c>
      <c r="X244" s="34">
        <v>0.50347222222222221</v>
      </c>
    </row>
    <row r="245" spans="1:24" ht="12.75" x14ac:dyDescent="0.2">
      <c r="A245" s="30">
        <v>46052</v>
      </c>
      <c r="B245" s="31" t="s">
        <v>97</v>
      </c>
      <c r="C245" s="31">
        <v>1</v>
      </c>
      <c r="D245" s="31" t="s">
        <v>50</v>
      </c>
      <c r="E245" s="31" t="s">
        <v>302</v>
      </c>
      <c r="F245" s="31">
        <v>11915664</v>
      </c>
      <c r="G245" s="31">
        <v>42198431</v>
      </c>
      <c r="H245" s="31" t="s">
        <v>121</v>
      </c>
      <c r="I245" s="31">
        <v>76</v>
      </c>
      <c r="J245" s="31" t="s">
        <v>50</v>
      </c>
      <c r="K245" s="31" t="s">
        <v>53</v>
      </c>
      <c r="L245" s="31" t="s">
        <v>54</v>
      </c>
      <c r="M245" s="31" t="s">
        <v>54</v>
      </c>
      <c r="N245" s="31" t="s">
        <v>303</v>
      </c>
      <c r="O245" s="31" t="s">
        <v>56</v>
      </c>
      <c r="P245" s="31" t="s">
        <v>81</v>
      </c>
      <c r="Q245" s="31">
        <v>261600</v>
      </c>
      <c r="R245" s="31" t="s">
        <v>57</v>
      </c>
      <c r="S245" s="31" t="s">
        <v>65</v>
      </c>
      <c r="T245" s="31" t="s">
        <v>58</v>
      </c>
      <c r="U245" s="31" t="s">
        <v>58</v>
      </c>
      <c r="V245" s="30">
        <v>46052</v>
      </c>
      <c r="W245" s="34">
        <v>0.51041666666666663</v>
      </c>
      <c r="X245" s="34">
        <v>0.55208333333333337</v>
      </c>
    </row>
    <row r="246" spans="1:24" ht="12.75" x14ac:dyDescent="0.2">
      <c r="A246" s="30">
        <v>46052</v>
      </c>
      <c r="B246" s="31" t="s">
        <v>100</v>
      </c>
      <c r="C246" s="31">
        <v>1</v>
      </c>
      <c r="D246" s="31" t="s">
        <v>50</v>
      </c>
      <c r="E246" s="31" t="s">
        <v>271</v>
      </c>
      <c r="F246" s="31">
        <v>47247252</v>
      </c>
      <c r="G246" s="31">
        <v>66796744</v>
      </c>
      <c r="H246" s="31" t="s">
        <v>121</v>
      </c>
      <c r="I246" s="31">
        <v>57</v>
      </c>
      <c r="J246" s="31" t="s">
        <v>50</v>
      </c>
      <c r="K246" s="31" t="s">
        <v>65</v>
      </c>
      <c r="L246" s="31" t="s">
        <v>54</v>
      </c>
      <c r="M246" s="31" t="s">
        <v>54</v>
      </c>
      <c r="N246" s="31" t="s">
        <v>328</v>
      </c>
      <c r="O246" s="31" t="s">
        <v>56</v>
      </c>
      <c r="P246" s="31" t="s">
        <v>81</v>
      </c>
      <c r="Q246" s="31">
        <v>26952</v>
      </c>
      <c r="R246" s="31" t="s">
        <v>57</v>
      </c>
      <c r="S246" s="31" t="s">
        <v>65</v>
      </c>
      <c r="T246" s="31" t="s">
        <v>58</v>
      </c>
      <c r="U246" s="31" t="s">
        <v>58</v>
      </c>
      <c r="V246" s="30">
        <v>46052</v>
      </c>
      <c r="W246" s="34">
        <v>0.58333333333333337</v>
      </c>
      <c r="X246" s="34">
        <v>0.71875</v>
      </c>
    </row>
    <row r="247" spans="1:24" ht="12.75" x14ac:dyDescent="0.2">
      <c r="A247" s="30">
        <v>46052</v>
      </c>
      <c r="B247" s="31" t="s">
        <v>59</v>
      </c>
      <c r="C247" s="31">
        <v>1</v>
      </c>
      <c r="D247" s="31" t="s">
        <v>60</v>
      </c>
      <c r="E247" s="31" t="s">
        <v>329</v>
      </c>
      <c r="F247" s="31">
        <v>25500305</v>
      </c>
      <c r="G247" s="31">
        <v>43430833</v>
      </c>
      <c r="H247" s="31" t="s">
        <v>115</v>
      </c>
      <c r="I247" s="31">
        <v>67</v>
      </c>
      <c r="J247" s="31" t="s">
        <v>50</v>
      </c>
      <c r="K247" s="31" t="s">
        <v>103</v>
      </c>
      <c r="L247" s="31" t="s">
        <v>54</v>
      </c>
      <c r="M247" s="31" t="s">
        <v>54</v>
      </c>
      <c r="N247" s="31" t="s">
        <v>107</v>
      </c>
      <c r="O247" s="31" t="s">
        <v>56</v>
      </c>
      <c r="P247" s="31" t="s">
        <v>50</v>
      </c>
      <c r="Q247" s="31">
        <v>37220</v>
      </c>
      <c r="R247" s="31" t="s">
        <v>57</v>
      </c>
      <c r="S247" s="31" t="s">
        <v>65</v>
      </c>
      <c r="T247" s="31" t="s">
        <v>58</v>
      </c>
      <c r="U247" s="31" t="s">
        <v>58</v>
      </c>
      <c r="V247" s="30">
        <v>46052</v>
      </c>
      <c r="W247" s="34">
        <v>0.33333333333333331</v>
      </c>
      <c r="X247" s="34">
        <v>0.41666666666666669</v>
      </c>
    </row>
    <row r="248" spans="1:24" ht="12.75" x14ac:dyDescent="0.2">
      <c r="A248" s="30">
        <v>46052</v>
      </c>
      <c r="B248" s="31" t="s">
        <v>93</v>
      </c>
      <c r="C248" s="31">
        <v>1</v>
      </c>
      <c r="D248" s="31" t="s">
        <v>60</v>
      </c>
      <c r="E248" s="31" t="s">
        <v>159</v>
      </c>
      <c r="F248" s="31">
        <v>22254408</v>
      </c>
      <c r="G248" s="31">
        <v>43291890</v>
      </c>
      <c r="H248" s="31" t="s">
        <v>140</v>
      </c>
      <c r="I248" s="31">
        <v>61</v>
      </c>
      <c r="J248" s="31" t="s">
        <v>50</v>
      </c>
      <c r="K248" s="31" t="s">
        <v>103</v>
      </c>
      <c r="L248" s="31" t="s">
        <v>54</v>
      </c>
      <c r="M248" s="31" t="s">
        <v>54</v>
      </c>
      <c r="N248" s="31" t="s">
        <v>109</v>
      </c>
      <c r="O248" s="31" t="s">
        <v>56</v>
      </c>
      <c r="P248" s="31" t="s">
        <v>81</v>
      </c>
      <c r="Q248" s="31">
        <v>47957</v>
      </c>
      <c r="R248" s="31" t="s">
        <v>57</v>
      </c>
      <c r="S248" s="31" t="s">
        <v>65</v>
      </c>
      <c r="T248" s="31" t="s">
        <v>58</v>
      </c>
      <c r="U248" s="31" t="s">
        <v>58</v>
      </c>
      <c r="V248" s="30">
        <v>46052</v>
      </c>
      <c r="W248" s="31" t="s">
        <v>330</v>
      </c>
      <c r="X248" s="51">
        <v>46035</v>
      </c>
    </row>
    <row r="249" spans="1:24" ht="12.75" x14ac:dyDescent="0.2">
      <c r="A249" s="30">
        <v>46052</v>
      </c>
      <c r="B249" s="31" t="s">
        <v>97</v>
      </c>
      <c r="C249" s="31">
        <v>1</v>
      </c>
      <c r="D249" s="31" t="s">
        <v>60</v>
      </c>
      <c r="E249" s="31" t="s">
        <v>51</v>
      </c>
      <c r="F249" s="31">
        <v>21866455</v>
      </c>
      <c r="G249" s="31">
        <v>43300128</v>
      </c>
      <c r="H249" s="31" t="s">
        <v>52</v>
      </c>
      <c r="I249" s="31">
        <v>67</v>
      </c>
      <c r="J249" s="31" t="s">
        <v>50</v>
      </c>
      <c r="K249" s="31" t="s">
        <v>103</v>
      </c>
      <c r="L249" s="31" t="s">
        <v>54</v>
      </c>
      <c r="M249" s="31" t="s">
        <v>54</v>
      </c>
      <c r="N249" s="31" t="s">
        <v>331</v>
      </c>
      <c r="O249" s="31" t="s">
        <v>56</v>
      </c>
      <c r="P249" s="31" t="s">
        <v>81</v>
      </c>
      <c r="Q249" s="31">
        <v>46275</v>
      </c>
      <c r="R249" s="31" t="s">
        <v>57</v>
      </c>
      <c r="S249" s="31" t="s">
        <v>65</v>
      </c>
      <c r="T249" s="31" t="s">
        <v>58</v>
      </c>
      <c r="U249" s="31" t="s">
        <v>58</v>
      </c>
      <c r="V249" s="30">
        <v>46052</v>
      </c>
      <c r="W249" s="51">
        <v>46031</v>
      </c>
      <c r="X249" s="31" t="s">
        <v>332</v>
      </c>
    </row>
    <row r="250" spans="1:24" ht="12.75" x14ac:dyDescent="0.2">
      <c r="A250" s="30">
        <v>46052</v>
      </c>
      <c r="B250" s="31" t="s">
        <v>100</v>
      </c>
      <c r="C250" s="31">
        <v>1</v>
      </c>
      <c r="D250" s="31" t="s">
        <v>60</v>
      </c>
      <c r="E250" s="31" t="s">
        <v>228</v>
      </c>
      <c r="F250" s="31">
        <v>10149432</v>
      </c>
      <c r="G250" s="31">
        <v>62956182</v>
      </c>
      <c r="H250" s="31" t="s">
        <v>52</v>
      </c>
      <c r="I250" s="31">
        <v>14</v>
      </c>
      <c r="J250" s="31" t="s">
        <v>63</v>
      </c>
      <c r="K250" s="31" t="s">
        <v>63</v>
      </c>
      <c r="L250" s="31" t="s">
        <v>54</v>
      </c>
      <c r="M250" s="31" t="s">
        <v>54</v>
      </c>
      <c r="N250" s="31" t="s">
        <v>333</v>
      </c>
      <c r="O250" s="31" t="s">
        <v>56</v>
      </c>
      <c r="P250" s="31" t="s">
        <v>81</v>
      </c>
      <c r="Q250" s="31">
        <v>19120</v>
      </c>
      <c r="R250" s="31" t="s">
        <v>57</v>
      </c>
      <c r="S250" s="31" t="s">
        <v>65</v>
      </c>
      <c r="T250" s="31" t="s">
        <v>58</v>
      </c>
      <c r="U250" s="31" t="s">
        <v>58</v>
      </c>
      <c r="V250" s="30">
        <v>46052</v>
      </c>
      <c r="W250" s="34">
        <v>0.54166666666666663</v>
      </c>
      <c r="X250" s="34">
        <v>0.59027777777777779</v>
      </c>
    </row>
    <row r="251" spans="1:24" ht="12.75" x14ac:dyDescent="0.2">
      <c r="A251" s="30">
        <v>46052</v>
      </c>
      <c r="B251" s="31" t="s">
        <v>49</v>
      </c>
      <c r="C251" s="31">
        <v>1</v>
      </c>
      <c r="D251" s="31" t="s">
        <v>50</v>
      </c>
      <c r="E251" s="31" t="s">
        <v>213</v>
      </c>
      <c r="F251" s="31">
        <v>43103030</v>
      </c>
      <c r="G251" s="31">
        <v>47332818</v>
      </c>
      <c r="H251" s="31" t="s">
        <v>147</v>
      </c>
      <c r="I251" s="31">
        <v>33</v>
      </c>
      <c r="J251" s="31" t="s">
        <v>63</v>
      </c>
      <c r="K251" s="31" t="s">
        <v>334</v>
      </c>
      <c r="L251" s="31" t="s">
        <v>76</v>
      </c>
      <c r="M251" s="31">
        <v>0</v>
      </c>
      <c r="N251" s="31" t="s">
        <v>194</v>
      </c>
      <c r="O251" s="31" t="s">
        <v>56</v>
      </c>
      <c r="P251" s="31" t="s">
        <v>81</v>
      </c>
      <c r="Q251" s="31">
        <v>59510</v>
      </c>
      <c r="R251" s="31" t="s">
        <v>57</v>
      </c>
      <c r="S251" s="31" t="s">
        <v>57</v>
      </c>
      <c r="T251" s="31" t="s">
        <v>58</v>
      </c>
      <c r="U251" s="31" t="s">
        <v>58</v>
      </c>
      <c r="V251" s="30">
        <v>46052</v>
      </c>
      <c r="W251" s="34">
        <v>0.45833333333333331</v>
      </c>
      <c r="X251" s="34">
        <v>0.53472222222222221</v>
      </c>
    </row>
    <row r="252" spans="1:24" ht="12.75" x14ac:dyDescent="0.2">
      <c r="A252" s="30">
        <v>46052</v>
      </c>
      <c r="B252" s="31" t="s">
        <v>127</v>
      </c>
      <c r="C252" s="31">
        <v>1</v>
      </c>
      <c r="D252" s="31" t="s">
        <v>60</v>
      </c>
      <c r="E252" s="31" t="s">
        <v>158</v>
      </c>
      <c r="F252" s="31">
        <v>10144432</v>
      </c>
      <c r="G252" s="31">
        <v>17619723</v>
      </c>
      <c r="H252" s="31" t="s">
        <v>52</v>
      </c>
      <c r="I252" s="31">
        <v>52</v>
      </c>
      <c r="J252" s="31" t="s">
        <v>63</v>
      </c>
      <c r="K252" s="31" t="s">
        <v>58</v>
      </c>
      <c r="L252" s="31" t="s">
        <v>54</v>
      </c>
      <c r="M252" s="31" t="s">
        <v>54</v>
      </c>
      <c r="N252" s="31" t="s">
        <v>335</v>
      </c>
      <c r="O252" s="31" t="s">
        <v>56</v>
      </c>
      <c r="P252" s="31" t="s">
        <v>81</v>
      </c>
      <c r="Q252" s="31">
        <v>49592</v>
      </c>
      <c r="R252" s="31" t="s">
        <v>57</v>
      </c>
      <c r="S252" s="31" t="s">
        <v>57</v>
      </c>
      <c r="T252" s="31" t="s">
        <v>58</v>
      </c>
      <c r="U252" s="31" t="s">
        <v>58</v>
      </c>
      <c r="V252" s="30">
        <v>46052</v>
      </c>
      <c r="W252" s="34">
        <v>0.28611111111111109</v>
      </c>
      <c r="X252" s="34">
        <v>0.375</v>
      </c>
    </row>
    <row r="253" spans="1:24" ht="12.75" x14ac:dyDescent="0.2">
      <c r="A253" s="30">
        <v>46052</v>
      </c>
      <c r="B253" s="31" t="s">
        <v>127</v>
      </c>
      <c r="C253" s="31">
        <v>1</v>
      </c>
      <c r="D253" s="31" t="s">
        <v>50</v>
      </c>
      <c r="E253" s="31" t="s">
        <v>98</v>
      </c>
      <c r="F253" s="31">
        <v>44897100</v>
      </c>
      <c r="G253" s="31">
        <v>43267564</v>
      </c>
      <c r="H253" s="31" t="s">
        <v>73</v>
      </c>
      <c r="I253" s="31">
        <v>74</v>
      </c>
      <c r="J253" s="31" t="s">
        <v>50</v>
      </c>
      <c r="K253" s="31" t="s">
        <v>58</v>
      </c>
      <c r="L253" s="31" t="s">
        <v>54</v>
      </c>
      <c r="M253" s="31" t="s">
        <v>54</v>
      </c>
      <c r="N253" s="31" t="s">
        <v>135</v>
      </c>
      <c r="O253" s="31" t="s">
        <v>56</v>
      </c>
      <c r="P253" s="31" t="s">
        <v>81</v>
      </c>
      <c r="Q253" s="31">
        <v>26951</v>
      </c>
      <c r="R253" s="31" t="s">
        <v>57</v>
      </c>
      <c r="S253" s="31" t="s">
        <v>57</v>
      </c>
      <c r="T253" s="31" t="s">
        <v>58</v>
      </c>
      <c r="U253" s="31" t="s">
        <v>58</v>
      </c>
      <c r="V253" s="30">
        <v>46052</v>
      </c>
      <c r="W253" s="34">
        <v>0.98958333333333337</v>
      </c>
      <c r="X253" s="34">
        <v>8.3333333333333329E-2</v>
      </c>
    </row>
    <row r="254" spans="1:24" ht="12.75" x14ac:dyDescent="0.2">
      <c r="A254" s="30">
        <v>46052</v>
      </c>
      <c r="B254" s="31" t="s">
        <v>127</v>
      </c>
      <c r="C254" s="31">
        <v>1</v>
      </c>
      <c r="D254" s="31" t="s">
        <v>60</v>
      </c>
      <c r="E254" s="31" t="s">
        <v>336</v>
      </c>
      <c r="F254" s="31" t="s">
        <v>337</v>
      </c>
      <c r="G254" s="31">
        <v>74379095</v>
      </c>
      <c r="H254" s="31" t="s">
        <v>147</v>
      </c>
      <c r="I254" s="31">
        <v>29</v>
      </c>
      <c r="J254" s="31" t="s">
        <v>63</v>
      </c>
      <c r="K254" s="31" t="s">
        <v>334</v>
      </c>
      <c r="L254" s="31" t="s">
        <v>76</v>
      </c>
      <c r="M254" s="31" t="s">
        <v>54</v>
      </c>
      <c r="N254" s="31" t="s">
        <v>338</v>
      </c>
      <c r="O254" s="31" t="s">
        <v>56</v>
      </c>
      <c r="P254" s="31" t="s">
        <v>81</v>
      </c>
      <c r="Q254" s="31">
        <v>59510</v>
      </c>
      <c r="R254" s="31" t="s">
        <v>57</v>
      </c>
      <c r="S254" s="31" t="s">
        <v>57</v>
      </c>
      <c r="T254" s="31" t="s">
        <v>58</v>
      </c>
      <c r="U254" s="31" t="s">
        <v>58</v>
      </c>
      <c r="V254" s="30">
        <v>46052</v>
      </c>
      <c r="W254" s="34">
        <v>8.3333333333333329E-2</v>
      </c>
      <c r="X254" s="34">
        <v>0.16666666666666666</v>
      </c>
    </row>
    <row r="255" spans="1:24" ht="12.75" x14ac:dyDescent="0.2">
      <c r="A255" s="30">
        <v>46053</v>
      </c>
      <c r="B255" s="31" t="s">
        <v>59</v>
      </c>
      <c r="C255" s="31">
        <v>1</v>
      </c>
      <c r="D255" s="31" t="s">
        <v>50</v>
      </c>
      <c r="E255" s="31" t="s">
        <v>339</v>
      </c>
      <c r="F255" s="31">
        <v>42193991</v>
      </c>
      <c r="G255" s="31">
        <v>10327730</v>
      </c>
      <c r="H255" s="31" t="s">
        <v>88</v>
      </c>
      <c r="I255" s="31">
        <v>69</v>
      </c>
      <c r="J255" s="31" t="s">
        <v>63</v>
      </c>
      <c r="K255" s="31" t="s">
        <v>63</v>
      </c>
      <c r="L255" s="31" t="s">
        <v>54</v>
      </c>
      <c r="M255" s="31" t="s">
        <v>54</v>
      </c>
      <c r="N255" s="31" t="s">
        <v>340</v>
      </c>
      <c r="O255" s="31" t="s">
        <v>56</v>
      </c>
      <c r="P255" s="31" t="s">
        <v>81</v>
      </c>
      <c r="Q255" s="31">
        <v>22842</v>
      </c>
      <c r="R255" s="31" t="s">
        <v>57</v>
      </c>
      <c r="S255" s="31" t="s">
        <v>65</v>
      </c>
      <c r="T255" s="31" t="s">
        <v>58</v>
      </c>
      <c r="U255" s="31" t="s">
        <v>58</v>
      </c>
      <c r="V255" s="30">
        <v>46053</v>
      </c>
      <c r="W255" s="34">
        <v>0.375</v>
      </c>
      <c r="X255" s="34">
        <v>0.58333333333333337</v>
      </c>
    </row>
    <row r="256" spans="1:24" ht="12.75" x14ac:dyDescent="0.2">
      <c r="A256" s="30">
        <v>46053</v>
      </c>
      <c r="B256" s="31" t="s">
        <v>59</v>
      </c>
      <c r="C256" s="31">
        <v>1</v>
      </c>
      <c r="D256" s="31" t="s">
        <v>60</v>
      </c>
      <c r="E256" s="31" t="s">
        <v>101</v>
      </c>
      <c r="F256" s="31">
        <v>46041788</v>
      </c>
      <c r="G256" s="31">
        <v>83376449</v>
      </c>
      <c r="H256" s="31" t="s">
        <v>73</v>
      </c>
      <c r="I256" s="31">
        <v>87</v>
      </c>
      <c r="J256" s="31" t="s">
        <v>63</v>
      </c>
      <c r="K256" s="31" t="s">
        <v>63</v>
      </c>
      <c r="L256" s="31" t="s">
        <v>54</v>
      </c>
      <c r="M256" s="31" t="s">
        <v>54</v>
      </c>
      <c r="N256" s="31" t="s">
        <v>321</v>
      </c>
      <c r="O256" s="31" t="s">
        <v>56</v>
      </c>
      <c r="P256" s="31" t="s">
        <v>81</v>
      </c>
      <c r="Q256" s="31">
        <v>27130</v>
      </c>
      <c r="R256" s="31" t="s">
        <v>57</v>
      </c>
      <c r="S256" s="31" t="s">
        <v>65</v>
      </c>
      <c r="T256" s="31" t="s">
        <v>58</v>
      </c>
      <c r="U256" s="31" t="s">
        <v>58</v>
      </c>
      <c r="V256" s="30">
        <v>46053</v>
      </c>
      <c r="W256" s="34">
        <v>0.375</v>
      </c>
      <c r="X256" s="34">
        <v>0.54166666666666663</v>
      </c>
    </row>
    <row r="257" spans="1:24" ht="12.75" x14ac:dyDescent="0.2">
      <c r="A257" s="30">
        <v>46053</v>
      </c>
      <c r="B257" s="31" t="s">
        <v>97</v>
      </c>
      <c r="C257" s="31">
        <v>1</v>
      </c>
      <c r="D257" s="31" t="s">
        <v>60</v>
      </c>
      <c r="E257" s="31" t="s">
        <v>101</v>
      </c>
      <c r="F257" s="31">
        <v>46041788</v>
      </c>
      <c r="G257" s="31">
        <v>6600258</v>
      </c>
      <c r="H257" s="31" t="s">
        <v>73</v>
      </c>
      <c r="I257" s="31">
        <v>76</v>
      </c>
      <c r="J257" s="31" t="s">
        <v>63</v>
      </c>
      <c r="K257" s="31" t="s">
        <v>65</v>
      </c>
      <c r="L257" s="31" t="s">
        <v>54</v>
      </c>
      <c r="M257" s="31" t="s">
        <v>54</v>
      </c>
      <c r="N257" s="31" t="s">
        <v>102</v>
      </c>
      <c r="O257" s="31" t="s">
        <v>56</v>
      </c>
      <c r="P257" s="31" t="s">
        <v>81</v>
      </c>
      <c r="Q257" s="31">
        <v>26995</v>
      </c>
      <c r="R257" s="31" t="s">
        <v>57</v>
      </c>
      <c r="S257" s="31" t="s">
        <v>65</v>
      </c>
      <c r="T257" s="31" t="s">
        <v>58</v>
      </c>
      <c r="U257" s="31" t="s">
        <v>58</v>
      </c>
      <c r="V257" s="30">
        <v>46053</v>
      </c>
      <c r="W257" s="34">
        <v>0.59375</v>
      </c>
      <c r="X257" s="34">
        <v>0.75</v>
      </c>
    </row>
    <row r="258" spans="1:24" ht="12.75" x14ac:dyDescent="0.2">
      <c r="A258" s="30">
        <v>46053</v>
      </c>
      <c r="B258" s="31" t="s">
        <v>49</v>
      </c>
      <c r="C258" s="31">
        <v>1</v>
      </c>
      <c r="D258" s="31" t="s">
        <v>60</v>
      </c>
      <c r="E258" s="31" t="s">
        <v>195</v>
      </c>
      <c r="F258" s="31">
        <v>32951664</v>
      </c>
      <c r="G258" s="31">
        <v>8191423</v>
      </c>
      <c r="H258" s="31" t="s">
        <v>52</v>
      </c>
      <c r="I258" s="31">
        <v>97</v>
      </c>
      <c r="J258" s="31" t="s">
        <v>63</v>
      </c>
      <c r="K258" s="31" t="s">
        <v>63</v>
      </c>
      <c r="L258" s="31" t="s">
        <v>54</v>
      </c>
      <c r="M258" s="31" t="s">
        <v>54</v>
      </c>
      <c r="N258" s="31" t="s">
        <v>155</v>
      </c>
      <c r="O258" s="31" t="s">
        <v>56</v>
      </c>
      <c r="P258" s="31" t="s">
        <v>81</v>
      </c>
      <c r="Q258" s="31">
        <v>47562</v>
      </c>
      <c r="R258" s="31" t="s">
        <v>57</v>
      </c>
      <c r="S258" s="31" t="s">
        <v>57</v>
      </c>
      <c r="T258" s="31" t="s">
        <v>58</v>
      </c>
      <c r="U258" s="31" t="s">
        <v>58</v>
      </c>
      <c r="V258" s="30">
        <v>46053</v>
      </c>
      <c r="W258" s="34">
        <v>0.75</v>
      </c>
      <c r="X258" s="34">
        <v>0.83333333333333337</v>
      </c>
    </row>
    <row r="259" spans="1:24" ht="12.75" x14ac:dyDescent="0.2">
      <c r="A259" s="30"/>
      <c r="V259" s="30"/>
    </row>
    <row r="260" spans="1:24" ht="12.75" x14ac:dyDescent="0.2">
      <c r="A260" s="30"/>
      <c r="V260" s="30"/>
      <c r="W260" s="34"/>
      <c r="X260" s="34"/>
    </row>
    <row r="261" spans="1:24" ht="12.75" x14ac:dyDescent="0.2">
      <c r="A261" s="30"/>
      <c r="V261" s="30"/>
      <c r="W261" s="34"/>
      <c r="X261" s="34"/>
    </row>
    <row r="262" spans="1:24" ht="12.75" x14ac:dyDescent="0.2">
      <c r="A262" s="30"/>
      <c r="V262" s="30"/>
    </row>
    <row r="263" spans="1:24" ht="12.75" x14ac:dyDescent="0.2">
      <c r="A263" s="30"/>
      <c r="V263" s="30"/>
      <c r="W263" s="51"/>
    </row>
    <row r="264" spans="1:24" ht="12.75" x14ac:dyDescent="0.2">
      <c r="A264" s="30"/>
      <c r="V264" s="30"/>
      <c r="W264" s="34"/>
      <c r="X264" s="34"/>
    </row>
    <row r="265" spans="1:24" ht="12.75" x14ac:dyDescent="0.2">
      <c r="A265" s="30"/>
      <c r="V265" s="30"/>
      <c r="W265" s="34"/>
      <c r="X265" s="34"/>
    </row>
    <row r="266" spans="1:24" ht="12.75" x14ac:dyDescent="0.2">
      <c r="A266" s="30"/>
      <c r="V266" s="30"/>
      <c r="W266" s="34"/>
      <c r="X266" s="34"/>
    </row>
    <row r="267" spans="1:24" ht="12.75" x14ac:dyDescent="0.2">
      <c r="A267" s="30"/>
      <c r="V267" s="30"/>
      <c r="W267" s="34"/>
      <c r="X267" s="34"/>
    </row>
    <row r="268" spans="1:24" ht="12.75" x14ac:dyDescent="0.2">
      <c r="A268" s="30"/>
      <c r="V268" s="30"/>
      <c r="W268" s="34"/>
    </row>
    <row r="269" spans="1:24" ht="12.75" x14ac:dyDescent="0.2">
      <c r="A269" s="30"/>
      <c r="V269" s="30"/>
      <c r="W269" s="34"/>
      <c r="X269" s="34"/>
    </row>
    <row r="270" spans="1:24" ht="12.75" x14ac:dyDescent="0.2">
      <c r="A270" s="30"/>
      <c r="V270" s="30"/>
      <c r="W270" s="34"/>
    </row>
    <row r="271" spans="1:24" ht="12.75" x14ac:dyDescent="0.2">
      <c r="A271" s="30"/>
      <c r="V271" s="30"/>
      <c r="W271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B076-D56D-4D58-8C7D-A1CC43BBDCCA}">
  <dimension ref="A1:BW258"/>
  <sheetViews>
    <sheetView tabSelected="1" workbookViewId="0">
      <selection activeCell="L3" sqref="L3:L258"/>
    </sheetView>
  </sheetViews>
  <sheetFormatPr baseColWidth="10" defaultRowHeight="12.75" x14ac:dyDescent="0.2"/>
  <cols>
    <col min="8" max="8" width="26.140625" customWidth="1"/>
    <col min="15" max="15" width="40" customWidth="1"/>
  </cols>
  <sheetData>
    <row r="1" spans="1:75" ht="153" x14ac:dyDescent="0.2">
      <c r="A1" s="80" t="s">
        <v>15</v>
      </c>
      <c r="B1" s="81" t="s">
        <v>341</v>
      </c>
      <c r="C1" s="55" t="s">
        <v>342</v>
      </c>
      <c r="D1" s="56" t="s">
        <v>40</v>
      </c>
      <c r="E1" s="82" t="s">
        <v>343</v>
      </c>
      <c r="F1" s="82"/>
      <c r="G1" s="57" t="s">
        <v>344</v>
      </c>
      <c r="H1" s="54" t="s">
        <v>345</v>
      </c>
      <c r="I1" s="58" t="s">
        <v>346</v>
      </c>
      <c r="J1" s="83" t="s">
        <v>347</v>
      </c>
      <c r="K1" s="58" t="s">
        <v>348</v>
      </c>
      <c r="L1" s="59" t="s">
        <v>3</v>
      </c>
      <c r="M1" s="58" t="s">
        <v>349</v>
      </c>
      <c r="N1" s="60" t="s">
        <v>350</v>
      </c>
      <c r="O1" s="60"/>
      <c r="P1" s="61" t="s">
        <v>351</v>
      </c>
      <c r="Q1" s="62" t="s">
        <v>4</v>
      </c>
      <c r="R1" s="63" t="s">
        <v>5</v>
      </c>
      <c r="S1" s="64" t="s">
        <v>6</v>
      </c>
      <c r="T1" s="64" t="s">
        <v>7</v>
      </c>
      <c r="U1" s="65" t="s">
        <v>352</v>
      </c>
      <c r="V1" s="84" t="s">
        <v>353</v>
      </c>
      <c r="W1" s="66" t="s">
        <v>354</v>
      </c>
      <c r="X1" s="79" t="s">
        <v>353</v>
      </c>
      <c r="Y1" s="66" t="s">
        <v>354</v>
      </c>
      <c r="Z1" s="79" t="s">
        <v>353</v>
      </c>
      <c r="AA1" s="67" t="s">
        <v>355</v>
      </c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</row>
    <row r="2" spans="1:75" ht="76.5" x14ac:dyDescent="0.2">
      <c r="A2" s="80"/>
      <c r="B2" s="81"/>
      <c r="C2" s="58" t="s">
        <v>16</v>
      </c>
      <c r="D2" s="69" t="s">
        <v>356</v>
      </c>
      <c r="E2" s="58" t="s">
        <v>17</v>
      </c>
      <c r="F2" s="58" t="s">
        <v>357</v>
      </c>
      <c r="G2" s="58" t="s">
        <v>358</v>
      </c>
      <c r="H2" s="54" t="s">
        <v>359</v>
      </c>
      <c r="I2" s="58" t="s">
        <v>360</v>
      </c>
      <c r="J2" s="83"/>
      <c r="K2" s="58" t="s">
        <v>361</v>
      </c>
      <c r="L2" s="59" t="s">
        <v>21</v>
      </c>
      <c r="M2" s="58" t="s">
        <v>362</v>
      </c>
      <c r="N2" s="70" t="s">
        <v>363</v>
      </c>
      <c r="O2" s="70"/>
      <c r="P2" s="61" t="s">
        <v>364</v>
      </c>
      <c r="Q2" s="61" t="s">
        <v>365</v>
      </c>
      <c r="R2" s="61" t="s">
        <v>366</v>
      </c>
      <c r="S2" s="61" t="s">
        <v>367</v>
      </c>
      <c r="T2" s="61" t="s">
        <v>27</v>
      </c>
      <c r="U2" s="70" t="s">
        <v>28</v>
      </c>
      <c r="V2" s="84"/>
      <c r="W2" s="61" t="s">
        <v>368</v>
      </c>
      <c r="X2" s="79"/>
      <c r="Y2" s="61" t="s">
        <v>369</v>
      </c>
      <c r="Z2" s="79"/>
      <c r="AA2" s="54" t="s">
        <v>370</v>
      </c>
      <c r="AB2" s="58" t="s">
        <v>371</v>
      </c>
      <c r="AC2" s="58" t="s">
        <v>371</v>
      </c>
      <c r="AD2" s="58" t="s">
        <v>371</v>
      </c>
      <c r="AE2" s="58" t="s">
        <v>371</v>
      </c>
      <c r="AF2" s="58" t="s">
        <v>371</v>
      </c>
      <c r="AG2" s="58" t="s">
        <v>371</v>
      </c>
      <c r="AH2" s="58" t="s">
        <v>371</v>
      </c>
      <c r="AI2" s="58" t="s">
        <v>371</v>
      </c>
      <c r="AJ2" s="58" t="s">
        <v>371</v>
      </c>
      <c r="AK2" s="58" t="s">
        <v>371</v>
      </c>
      <c r="AL2" s="58" t="s">
        <v>371</v>
      </c>
      <c r="AM2" s="58" t="s">
        <v>371</v>
      </c>
      <c r="AN2" s="58" t="s">
        <v>371</v>
      </c>
      <c r="AO2" s="58" t="s">
        <v>371</v>
      </c>
      <c r="AP2" s="58" t="s">
        <v>371</v>
      </c>
      <c r="AQ2" s="58" t="s">
        <v>371</v>
      </c>
      <c r="AR2" s="58" t="s">
        <v>371</v>
      </c>
      <c r="AS2" s="58" t="s">
        <v>371</v>
      </c>
      <c r="AT2" s="58" t="s">
        <v>371</v>
      </c>
      <c r="AU2" s="58" t="s">
        <v>371</v>
      </c>
      <c r="AV2" s="58" t="s">
        <v>371</v>
      </c>
      <c r="AW2" s="58" t="s">
        <v>371</v>
      </c>
      <c r="AX2" s="58" t="s">
        <v>371</v>
      </c>
      <c r="AY2" s="58" t="s">
        <v>371</v>
      </c>
      <c r="AZ2" s="58" t="s">
        <v>371</v>
      </c>
      <c r="BA2" s="58" t="s">
        <v>371</v>
      </c>
      <c r="BB2" s="58" t="s">
        <v>371</v>
      </c>
      <c r="BC2" s="58" t="s">
        <v>371</v>
      </c>
      <c r="BD2" s="58" t="s">
        <v>371</v>
      </c>
      <c r="BE2" s="58" t="s">
        <v>371</v>
      </c>
      <c r="BF2" s="58" t="s">
        <v>371</v>
      </c>
      <c r="BG2" s="58" t="s">
        <v>371</v>
      </c>
      <c r="BH2" s="58" t="s">
        <v>371</v>
      </c>
      <c r="BI2" s="58" t="s">
        <v>371</v>
      </c>
      <c r="BJ2" s="58" t="s">
        <v>371</v>
      </c>
      <c r="BK2" s="58" t="s">
        <v>371</v>
      </c>
      <c r="BL2" s="58" t="s">
        <v>371</v>
      </c>
      <c r="BM2" s="58" t="s">
        <v>371</v>
      </c>
      <c r="BN2" s="58" t="s">
        <v>371</v>
      </c>
      <c r="BO2" s="58" t="s">
        <v>371</v>
      </c>
      <c r="BP2" s="58" t="s">
        <v>371</v>
      </c>
      <c r="BQ2" s="58" t="s">
        <v>371</v>
      </c>
      <c r="BR2" s="58" t="s">
        <v>371</v>
      </c>
      <c r="BS2" s="58" t="s">
        <v>371</v>
      </c>
      <c r="BT2" s="58" t="s">
        <v>371</v>
      </c>
      <c r="BU2" s="58" t="s">
        <v>371</v>
      </c>
      <c r="BV2" s="58" t="s">
        <v>371</v>
      </c>
      <c r="BW2" s="58" t="s">
        <v>371</v>
      </c>
    </row>
    <row r="3" spans="1:75" ht="15.75" customHeight="1" x14ac:dyDescent="0.25">
      <c r="A3" s="30">
        <v>46024</v>
      </c>
      <c r="B3" s="71" t="s">
        <v>372</v>
      </c>
      <c r="C3" s="31" t="s">
        <v>49</v>
      </c>
      <c r="D3" s="72">
        <v>17024</v>
      </c>
      <c r="E3" s="31">
        <v>1</v>
      </c>
      <c r="F3" s="73" t="s">
        <v>373</v>
      </c>
      <c r="G3" s="31" t="s">
        <v>50</v>
      </c>
      <c r="H3" s="31" t="s">
        <v>51</v>
      </c>
      <c r="I3" s="73" t="s">
        <v>374</v>
      </c>
      <c r="J3" s="85">
        <v>21866455</v>
      </c>
      <c r="K3" s="73"/>
      <c r="L3" s="85">
        <v>7789806</v>
      </c>
      <c r="M3" s="73"/>
      <c r="N3" s="74" t="s">
        <v>375</v>
      </c>
      <c r="O3" s="75" t="str">
        <f>VLOOKUP(N3,[1]UPS_SETIIPRESS!$A$2:$B$527,2,0)</f>
        <v>CENTRO QUIRÚRGICO Y ANESTESIOLOGÍA</v>
      </c>
      <c r="P3" s="31">
        <v>85</v>
      </c>
      <c r="Q3" s="31" t="s">
        <v>50</v>
      </c>
      <c r="R3" s="31" t="s">
        <v>53</v>
      </c>
      <c r="S3" s="31" t="s">
        <v>54</v>
      </c>
      <c r="T3" s="31" t="s">
        <v>54</v>
      </c>
      <c r="U3" s="31" t="s">
        <v>55</v>
      </c>
      <c r="V3" s="31" t="s">
        <v>56</v>
      </c>
      <c r="W3" s="76"/>
      <c r="X3" s="77"/>
      <c r="Y3" s="73"/>
      <c r="Z3" s="73"/>
      <c r="AA3" s="31">
        <v>499000</v>
      </c>
      <c r="AB3" s="78"/>
      <c r="AC3" s="78"/>
      <c r="AD3" s="78"/>
      <c r="AE3" s="78"/>
      <c r="AF3" s="71"/>
      <c r="AG3" s="71"/>
      <c r="AH3" s="71"/>
      <c r="AI3" s="71"/>
      <c r="AJ3" s="71"/>
      <c r="AK3" s="71"/>
      <c r="AL3" s="71"/>
      <c r="AM3" s="71"/>
      <c r="AN3" s="71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</row>
    <row r="4" spans="1:75" ht="13.5" x14ac:dyDescent="0.25">
      <c r="A4" s="33">
        <v>46027</v>
      </c>
      <c r="B4" s="71" t="s">
        <v>372</v>
      </c>
      <c r="C4" s="31" t="s">
        <v>59</v>
      </c>
      <c r="D4" s="72">
        <v>17024</v>
      </c>
      <c r="E4" s="31">
        <v>1</v>
      </c>
      <c r="F4" s="73" t="s">
        <v>373</v>
      </c>
      <c r="G4" s="31" t="s">
        <v>60</v>
      </c>
      <c r="H4" s="31" t="s">
        <v>61</v>
      </c>
      <c r="I4" s="73" t="s">
        <v>374</v>
      </c>
      <c r="J4" s="85">
        <v>21523144</v>
      </c>
      <c r="L4" s="85">
        <v>45808103</v>
      </c>
      <c r="N4" s="74" t="s">
        <v>375</v>
      </c>
      <c r="O4" s="75" t="str">
        <f>VLOOKUP(N4,[1]UPS_SETIIPRESS!$A$2:$B$527,2,0)</f>
        <v>CENTRO QUIRÚRGICO Y ANESTESIOLOGÍA</v>
      </c>
      <c r="P4" s="31">
        <v>34</v>
      </c>
      <c r="Q4" s="31" t="s">
        <v>50</v>
      </c>
      <c r="R4" s="31" t="s">
        <v>63</v>
      </c>
      <c r="S4" s="31" t="s">
        <v>54</v>
      </c>
      <c r="T4" s="31" t="s">
        <v>54</v>
      </c>
      <c r="U4" s="31" t="s">
        <v>64</v>
      </c>
      <c r="V4" s="31" t="s">
        <v>56</v>
      </c>
      <c r="AA4" s="31">
        <v>90874</v>
      </c>
    </row>
    <row r="5" spans="1:75" ht="13.5" x14ac:dyDescent="0.25">
      <c r="A5" s="30">
        <v>46027</v>
      </c>
      <c r="B5" s="71" t="s">
        <v>372</v>
      </c>
      <c r="C5" s="31" t="s">
        <v>67</v>
      </c>
      <c r="D5" s="72">
        <v>17024</v>
      </c>
      <c r="E5" s="31">
        <v>1</v>
      </c>
      <c r="F5" s="73" t="s">
        <v>373</v>
      </c>
      <c r="G5" s="31" t="s">
        <v>60</v>
      </c>
      <c r="H5" s="31" t="s">
        <v>61</v>
      </c>
      <c r="I5" s="73" t="s">
        <v>374</v>
      </c>
      <c r="J5" s="85">
        <v>21523144</v>
      </c>
      <c r="L5" s="85" t="s">
        <v>68</v>
      </c>
      <c r="N5" s="74" t="s">
        <v>375</v>
      </c>
      <c r="O5" s="75" t="str">
        <f>VLOOKUP(N5,[1]UPS_SETIIPRESS!$A$2:$B$527,2,0)</f>
        <v>CENTRO QUIRÚRGICO Y ANESTESIOLOGÍA</v>
      </c>
      <c r="P5" s="31">
        <v>61</v>
      </c>
      <c r="Q5" s="31" t="s">
        <v>50</v>
      </c>
      <c r="R5" s="31" t="s">
        <v>65</v>
      </c>
      <c r="S5" s="31" t="s">
        <v>58</v>
      </c>
      <c r="T5" s="31" t="s">
        <v>54</v>
      </c>
      <c r="U5" s="31" t="s">
        <v>64</v>
      </c>
      <c r="V5" s="31" t="s">
        <v>56</v>
      </c>
      <c r="AA5" s="31">
        <v>90874</v>
      </c>
    </row>
    <row r="6" spans="1:75" ht="13.5" x14ac:dyDescent="0.25">
      <c r="A6" s="30">
        <v>46027</v>
      </c>
      <c r="B6" s="71" t="s">
        <v>372</v>
      </c>
      <c r="C6" s="31" t="s">
        <v>69</v>
      </c>
      <c r="D6" s="72">
        <v>17024</v>
      </c>
      <c r="E6" s="31">
        <v>1</v>
      </c>
      <c r="F6" s="73" t="s">
        <v>373</v>
      </c>
      <c r="G6" s="31" t="s">
        <v>60</v>
      </c>
      <c r="H6" s="31" t="s">
        <v>61</v>
      </c>
      <c r="I6" s="73" t="s">
        <v>374</v>
      </c>
      <c r="J6" s="85">
        <v>21523144</v>
      </c>
      <c r="L6" s="85">
        <v>47472877</v>
      </c>
      <c r="N6" s="74" t="s">
        <v>375</v>
      </c>
      <c r="O6" s="75" t="str">
        <f>VLOOKUP(N6,[1]UPS_SETIIPRESS!$A$2:$B$527,2,0)</f>
        <v>CENTRO QUIRÚRGICO Y ANESTESIOLOGÍA</v>
      </c>
      <c r="P6" s="31">
        <v>32</v>
      </c>
      <c r="Q6" s="31" t="s">
        <v>63</v>
      </c>
      <c r="R6" s="31" t="s">
        <v>63</v>
      </c>
      <c r="S6" s="31" t="s">
        <v>54</v>
      </c>
      <c r="T6" s="31" t="s">
        <v>54</v>
      </c>
      <c r="U6" s="31" t="s">
        <v>64</v>
      </c>
      <c r="V6" s="31" t="s">
        <v>56</v>
      </c>
      <c r="AA6" s="31">
        <v>90874</v>
      </c>
    </row>
    <row r="7" spans="1:75" ht="13.5" x14ac:dyDescent="0.25">
      <c r="A7" s="30">
        <v>46028</v>
      </c>
      <c r="B7" s="71" t="s">
        <v>372</v>
      </c>
      <c r="C7" s="31" t="s">
        <v>71</v>
      </c>
      <c r="D7" s="72">
        <v>17024</v>
      </c>
      <c r="E7" s="31">
        <v>1</v>
      </c>
      <c r="F7" s="73" t="s">
        <v>373</v>
      </c>
      <c r="G7" s="31" t="s">
        <v>60</v>
      </c>
      <c r="H7" s="31" t="s">
        <v>72</v>
      </c>
      <c r="I7" s="73" t="s">
        <v>374</v>
      </c>
      <c r="J7" s="85">
        <v>45693874</v>
      </c>
      <c r="L7" s="85">
        <v>60652156</v>
      </c>
      <c r="N7" s="74" t="s">
        <v>375</v>
      </c>
      <c r="O7" s="75" t="str">
        <f>VLOOKUP(N7,[1]UPS_SETIIPRESS!$A$2:$B$527,2,0)</f>
        <v>CENTRO QUIRÚRGICO Y ANESTESIOLOGÍA</v>
      </c>
      <c r="P7" s="31">
        <v>20</v>
      </c>
      <c r="Q7" s="31" t="s">
        <v>50</v>
      </c>
      <c r="R7" s="31" t="s">
        <v>58</v>
      </c>
      <c r="S7" s="31" t="s">
        <v>54</v>
      </c>
      <c r="T7" s="31" t="s">
        <v>54</v>
      </c>
      <c r="U7" s="31" t="s">
        <v>74</v>
      </c>
      <c r="V7" s="31" t="s">
        <v>56</v>
      </c>
      <c r="AA7" s="31">
        <v>26655</v>
      </c>
    </row>
    <row r="8" spans="1:75" ht="13.5" x14ac:dyDescent="0.25">
      <c r="A8" s="30">
        <v>46028</v>
      </c>
      <c r="B8" s="71" t="s">
        <v>372</v>
      </c>
      <c r="C8" s="31" t="s">
        <v>75</v>
      </c>
      <c r="D8" s="72">
        <v>17024</v>
      </c>
      <c r="E8" s="31">
        <v>1</v>
      </c>
      <c r="F8" s="73" t="s">
        <v>373</v>
      </c>
      <c r="G8" s="31" t="s">
        <v>60</v>
      </c>
      <c r="H8" s="31" t="s">
        <v>72</v>
      </c>
      <c r="I8" s="73" t="s">
        <v>374</v>
      </c>
      <c r="J8" s="85">
        <v>45693874</v>
      </c>
      <c r="L8" s="85">
        <v>77046176</v>
      </c>
      <c r="N8" s="74" t="s">
        <v>375</v>
      </c>
      <c r="O8" s="75" t="str">
        <f>VLOOKUP(N8,[1]UPS_SETIIPRESS!$A$2:$B$527,2,0)</f>
        <v>CENTRO QUIRÚRGICO Y ANESTESIOLOGÍA</v>
      </c>
      <c r="P8" s="31">
        <v>24</v>
      </c>
      <c r="Q8" s="31" t="s">
        <v>50</v>
      </c>
      <c r="R8" s="31" t="s">
        <v>76</v>
      </c>
      <c r="S8" s="31" t="s">
        <v>54</v>
      </c>
      <c r="T8" s="31" t="s">
        <v>54</v>
      </c>
      <c r="U8" s="31" t="s">
        <v>77</v>
      </c>
      <c r="V8" s="31" t="s">
        <v>56</v>
      </c>
      <c r="AA8" s="31">
        <v>26010</v>
      </c>
    </row>
    <row r="9" spans="1:75" ht="13.5" x14ac:dyDescent="0.25">
      <c r="A9" s="30">
        <v>46028</v>
      </c>
      <c r="B9" s="71" t="s">
        <v>372</v>
      </c>
      <c r="C9" s="31" t="s">
        <v>59</v>
      </c>
      <c r="D9" s="72">
        <v>17024</v>
      </c>
      <c r="E9" s="31">
        <v>1</v>
      </c>
      <c r="F9" s="73" t="s">
        <v>373</v>
      </c>
      <c r="G9" s="31" t="s">
        <v>50</v>
      </c>
      <c r="H9" s="31" t="s">
        <v>78</v>
      </c>
      <c r="I9" s="73" t="s">
        <v>374</v>
      </c>
      <c r="J9" s="85">
        <v>43403659</v>
      </c>
      <c r="L9" s="85">
        <v>73349727</v>
      </c>
      <c r="N9" s="74" t="s">
        <v>375</v>
      </c>
      <c r="O9" s="75" t="str">
        <f>VLOOKUP(N9,[1]UPS_SETIIPRESS!$A$2:$B$527,2,0)</f>
        <v>CENTRO QUIRÚRGICO Y ANESTESIOLOGÍA</v>
      </c>
      <c r="P9" s="31">
        <v>23</v>
      </c>
      <c r="Q9" s="31" t="s">
        <v>50</v>
      </c>
      <c r="R9" s="31" t="s">
        <v>58</v>
      </c>
      <c r="S9" s="31" t="s">
        <v>76</v>
      </c>
      <c r="T9" s="31" t="s">
        <v>54</v>
      </c>
      <c r="U9" s="31" t="s">
        <v>80</v>
      </c>
      <c r="V9" s="31" t="s">
        <v>56</v>
      </c>
      <c r="AA9" s="31">
        <v>30520</v>
      </c>
    </row>
    <row r="10" spans="1:75" ht="13.5" x14ac:dyDescent="0.25">
      <c r="A10" s="30">
        <v>46028</v>
      </c>
      <c r="B10" s="71" t="s">
        <v>372</v>
      </c>
      <c r="C10" s="31" t="s">
        <v>59</v>
      </c>
      <c r="D10" s="72">
        <v>17024</v>
      </c>
      <c r="E10" s="31">
        <v>1</v>
      </c>
      <c r="F10" s="73" t="s">
        <v>373</v>
      </c>
      <c r="G10" s="31" t="s">
        <v>60</v>
      </c>
      <c r="H10" s="31" t="s">
        <v>82</v>
      </c>
      <c r="I10" s="73" t="s">
        <v>374</v>
      </c>
      <c r="J10" s="85">
        <v>44746381</v>
      </c>
      <c r="L10" s="85">
        <v>29277048</v>
      </c>
      <c r="N10" s="74" t="s">
        <v>375</v>
      </c>
      <c r="O10" s="75" t="str">
        <f>VLOOKUP(N10,[1]UPS_SETIIPRESS!$A$2:$B$527,2,0)</f>
        <v>CENTRO QUIRÚRGICO Y ANESTESIOLOGÍA</v>
      </c>
      <c r="P10" s="31">
        <v>66</v>
      </c>
      <c r="Q10" s="31" t="s">
        <v>50</v>
      </c>
      <c r="R10" s="31" t="s">
        <v>53</v>
      </c>
      <c r="S10" s="31" t="s">
        <v>54</v>
      </c>
      <c r="T10" s="31" t="s">
        <v>54</v>
      </c>
      <c r="U10" s="31" t="s">
        <v>84</v>
      </c>
      <c r="V10" s="31" t="s">
        <v>56</v>
      </c>
      <c r="AA10" s="31">
        <v>52649</v>
      </c>
    </row>
    <row r="11" spans="1:75" ht="13.5" x14ac:dyDescent="0.25">
      <c r="A11" s="30">
        <v>46028</v>
      </c>
      <c r="B11" s="71" t="s">
        <v>372</v>
      </c>
      <c r="C11" s="31" t="s">
        <v>67</v>
      </c>
      <c r="D11" s="72">
        <v>17024</v>
      </c>
      <c r="E11" s="31">
        <v>1</v>
      </c>
      <c r="F11" s="73" t="s">
        <v>373</v>
      </c>
      <c r="G11" s="31" t="s">
        <v>50</v>
      </c>
      <c r="H11" s="31" t="s">
        <v>85</v>
      </c>
      <c r="I11" s="73" t="s">
        <v>374</v>
      </c>
      <c r="J11" s="85">
        <v>61368</v>
      </c>
      <c r="L11" s="85">
        <v>74935386</v>
      </c>
      <c r="N11" s="74" t="s">
        <v>375</v>
      </c>
      <c r="O11" s="75" t="str">
        <f>VLOOKUP(N11,[1]UPS_SETIIPRESS!$A$2:$B$527,2,0)</f>
        <v>CENTRO QUIRÚRGICO Y ANESTESIOLOGÍA</v>
      </c>
      <c r="P11" s="31">
        <v>23</v>
      </c>
      <c r="Q11" s="31" t="s">
        <v>50</v>
      </c>
      <c r="R11" s="31" t="s">
        <v>53</v>
      </c>
      <c r="S11" s="31" t="s">
        <v>76</v>
      </c>
      <c r="T11" s="31" t="s">
        <v>54</v>
      </c>
      <c r="U11" s="31" t="s">
        <v>86</v>
      </c>
      <c r="V11" s="31" t="s">
        <v>56</v>
      </c>
      <c r="AA11" s="31">
        <v>55530</v>
      </c>
    </row>
    <row r="12" spans="1:75" ht="13.5" x14ac:dyDescent="0.25">
      <c r="A12" s="30">
        <v>46028</v>
      </c>
      <c r="B12" s="71" t="s">
        <v>372</v>
      </c>
      <c r="C12" s="31" t="s">
        <v>59</v>
      </c>
      <c r="D12" s="72">
        <v>17024</v>
      </c>
      <c r="E12" s="31">
        <v>1</v>
      </c>
      <c r="F12" s="73" t="s">
        <v>373</v>
      </c>
      <c r="G12" s="31" t="s">
        <v>50</v>
      </c>
      <c r="H12" s="31" t="s">
        <v>87</v>
      </c>
      <c r="I12" s="73" t="s">
        <v>374</v>
      </c>
      <c r="J12" s="85">
        <v>45125864</v>
      </c>
      <c r="L12" s="85">
        <v>44496303</v>
      </c>
      <c r="N12" s="74" t="s">
        <v>375</v>
      </c>
      <c r="O12" s="75" t="str">
        <f>VLOOKUP(N12,[1]UPS_SETIIPRESS!$A$2:$B$527,2,0)</f>
        <v>CENTRO QUIRÚRGICO Y ANESTESIOLOGÍA</v>
      </c>
      <c r="P12" s="31">
        <v>39</v>
      </c>
      <c r="Q12" s="31" t="s">
        <v>50</v>
      </c>
      <c r="R12" s="31" t="s">
        <v>70</v>
      </c>
      <c r="S12" s="31" t="s">
        <v>76</v>
      </c>
      <c r="T12" s="31" t="s">
        <v>54</v>
      </c>
      <c r="U12" s="31" t="s">
        <v>89</v>
      </c>
      <c r="V12" s="31" t="s">
        <v>56</v>
      </c>
      <c r="AA12" s="31">
        <v>55530</v>
      </c>
    </row>
    <row r="13" spans="1:75" ht="13.5" x14ac:dyDescent="0.25">
      <c r="A13" s="30">
        <v>46029</v>
      </c>
      <c r="B13" s="71" t="s">
        <v>372</v>
      </c>
      <c r="C13" s="31" t="s">
        <v>59</v>
      </c>
      <c r="D13" s="72">
        <v>17024</v>
      </c>
      <c r="E13" s="31">
        <v>1</v>
      </c>
      <c r="F13" s="73" t="s">
        <v>373</v>
      </c>
      <c r="G13" s="31" t="s">
        <v>60</v>
      </c>
      <c r="H13" s="31" t="s">
        <v>61</v>
      </c>
      <c r="I13" s="73" t="s">
        <v>374</v>
      </c>
      <c r="J13" s="85">
        <v>21523144</v>
      </c>
      <c r="L13" s="85">
        <v>47472877</v>
      </c>
      <c r="N13" s="74" t="s">
        <v>375</v>
      </c>
      <c r="O13" s="75" t="str">
        <f>VLOOKUP(N13,[1]UPS_SETIIPRESS!$A$2:$B$527,2,0)</f>
        <v>CENTRO QUIRÚRGICO Y ANESTESIOLOGÍA</v>
      </c>
      <c r="P13" s="31">
        <v>32</v>
      </c>
      <c r="Q13" s="31" t="s">
        <v>63</v>
      </c>
      <c r="R13" s="31" t="s">
        <v>63</v>
      </c>
      <c r="S13" s="31" t="s">
        <v>54</v>
      </c>
      <c r="T13" s="31" t="s">
        <v>54</v>
      </c>
      <c r="U13" s="31" t="s">
        <v>64</v>
      </c>
      <c r="V13" s="31" t="s">
        <v>56</v>
      </c>
      <c r="AA13" s="31">
        <v>90874</v>
      </c>
    </row>
    <row r="14" spans="1:75" ht="13.5" x14ac:dyDescent="0.25">
      <c r="A14" s="30">
        <v>46029</v>
      </c>
      <c r="B14" s="71" t="s">
        <v>372</v>
      </c>
      <c r="C14" s="31" t="s">
        <v>67</v>
      </c>
      <c r="D14" s="72">
        <v>17024</v>
      </c>
      <c r="E14" s="31">
        <v>1</v>
      </c>
      <c r="F14" s="73" t="s">
        <v>373</v>
      </c>
      <c r="G14" s="31" t="s">
        <v>60</v>
      </c>
      <c r="H14" s="31" t="s">
        <v>61</v>
      </c>
      <c r="I14" s="73" t="s">
        <v>374</v>
      </c>
      <c r="J14" s="85">
        <v>21523144</v>
      </c>
      <c r="L14" s="85" t="s">
        <v>90</v>
      </c>
      <c r="N14" s="74" t="s">
        <v>375</v>
      </c>
      <c r="O14" s="75" t="str">
        <f>VLOOKUP(N14,[1]UPS_SETIIPRESS!$A$2:$B$527,2,0)</f>
        <v>CENTRO QUIRÚRGICO Y ANESTESIOLOGÍA</v>
      </c>
      <c r="P14" s="31">
        <v>53</v>
      </c>
      <c r="Q14" s="31" t="s">
        <v>63</v>
      </c>
      <c r="R14" s="31" t="s">
        <v>63</v>
      </c>
      <c r="S14" s="31" t="s">
        <v>54</v>
      </c>
      <c r="T14" s="31" t="s">
        <v>54</v>
      </c>
      <c r="U14" s="31" t="s">
        <v>64</v>
      </c>
      <c r="V14" s="31" t="s">
        <v>56</v>
      </c>
      <c r="AA14" s="31">
        <v>90874</v>
      </c>
    </row>
    <row r="15" spans="1:75" ht="13.5" x14ac:dyDescent="0.25">
      <c r="A15" s="30">
        <v>46029</v>
      </c>
      <c r="B15" s="71" t="s">
        <v>372</v>
      </c>
      <c r="C15" s="31" t="s">
        <v>69</v>
      </c>
      <c r="D15" s="72">
        <v>17024</v>
      </c>
      <c r="E15" s="31">
        <v>1</v>
      </c>
      <c r="F15" s="73" t="s">
        <v>373</v>
      </c>
      <c r="G15" s="31" t="s">
        <v>60</v>
      </c>
      <c r="H15" s="31" t="s">
        <v>61</v>
      </c>
      <c r="I15" s="73" t="s">
        <v>374</v>
      </c>
      <c r="J15" s="85">
        <v>21523144</v>
      </c>
      <c r="L15" s="85" t="s">
        <v>91</v>
      </c>
      <c r="N15" s="74" t="s">
        <v>375</v>
      </c>
      <c r="O15" s="75" t="str">
        <f>VLOOKUP(N15,[1]UPS_SETIIPRESS!$A$2:$B$527,2,0)</f>
        <v>CENTRO QUIRÚRGICO Y ANESTESIOLOGÍA</v>
      </c>
      <c r="P15" s="31">
        <v>50</v>
      </c>
      <c r="Q15" s="31" t="s">
        <v>63</v>
      </c>
      <c r="R15" s="31" t="s">
        <v>63</v>
      </c>
      <c r="S15" s="31" t="s">
        <v>54</v>
      </c>
      <c r="T15" s="31" t="s">
        <v>54</v>
      </c>
      <c r="U15" s="31" t="s">
        <v>64</v>
      </c>
      <c r="V15" s="31" t="s">
        <v>56</v>
      </c>
      <c r="AA15" s="31">
        <v>90874</v>
      </c>
    </row>
    <row r="16" spans="1:75" ht="13.5" x14ac:dyDescent="0.25">
      <c r="A16" s="30">
        <v>46029</v>
      </c>
      <c r="B16" s="71" t="s">
        <v>372</v>
      </c>
      <c r="C16" s="31" t="s">
        <v>92</v>
      </c>
      <c r="D16" s="72">
        <v>17024</v>
      </c>
      <c r="E16" s="31">
        <v>1</v>
      </c>
      <c r="F16" s="73" t="s">
        <v>373</v>
      </c>
      <c r="G16" s="31" t="s">
        <v>60</v>
      </c>
      <c r="H16" s="31" t="s">
        <v>61</v>
      </c>
      <c r="I16" s="73" t="s">
        <v>374</v>
      </c>
      <c r="J16" s="85">
        <v>21523144</v>
      </c>
      <c r="L16" s="85">
        <v>61807519</v>
      </c>
      <c r="N16" s="74" t="s">
        <v>375</v>
      </c>
      <c r="O16" s="75" t="str">
        <f>VLOOKUP(N16,[1]UPS_SETIIPRESS!$A$2:$B$527,2,0)</f>
        <v>CENTRO QUIRÚRGICO Y ANESTESIOLOGÍA</v>
      </c>
      <c r="P16" s="31">
        <v>18</v>
      </c>
      <c r="Q16" s="31" t="s">
        <v>50</v>
      </c>
      <c r="R16" s="31" t="s">
        <v>63</v>
      </c>
      <c r="S16" s="31" t="s">
        <v>54</v>
      </c>
      <c r="T16" s="31" t="s">
        <v>54</v>
      </c>
      <c r="U16" s="31" t="s">
        <v>64</v>
      </c>
      <c r="V16" s="31" t="s">
        <v>56</v>
      </c>
      <c r="AA16" s="31">
        <v>90874</v>
      </c>
    </row>
    <row r="17" spans="1:27" ht="13.5" x14ac:dyDescent="0.25">
      <c r="A17" s="30">
        <v>46029</v>
      </c>
      <c r="B17" s="71" t="s">
        <v>372</v>
      </c>
      <c r="C17" s="31" t="s">
        <v>93</v>
      </c>
      <c r="D17" s="72">
        <v>17024</v>
      </c>
      <c r="E17" s="31">
        <v>1</v>
      </c>
      <c r="F17" s="73" t="s">
        <v>373</v>
      </c>
      <c r="G17" s="31" t="s">
        <v>60</v>
      </c>
      <c r="H17" s="31" t="s">
        <v>94</v>
      </c>
      <c r="I17" s="73" t="s">
        <v>374</v>
      </c>
      <c r="J17" s="85">
        <v>9618200</v>
      </c>
      <c r="L17" s="85">
        <v>40178373</v>
      </c>
      <c r="N17" s="74" t="s">
        <v>375</v>
      </c>
      <c r="O17" s="75" t="str">
        <f>VLOOKUP(N17,[1]UPS_SETIIPRESS!$A$2:$B$527,2,0)</f>
        <v>CENTRO QUIRÚRGICO Y ANESTESIOLOGÍA</v>
      </c>
      <c r="P17" s="31">
        <v>47</v>
      </c>
      <c r="Q17" s="31" t="s">
        <v>63</v>
      </c>
      <c r="R17" s="31" t="s">
        <v>63</v>
      </c>
      <c r="S17" s="31" t="s">
        <v>54</v>
      </c>
      <c r="T17" s="31" t="s">
        <v>54</v>
      </c>
      <c r="U17" s="31" t="s">
        <v>96</v>
      </c>
      <c r="V17" s="31" t="s">
        <v>56</v>
      </c>
      <c r="AA17" s="31">
        <v>29870</v>
      </c>
    </row>
    <row r="18" spans="1:27" ht="13.5" x14ac:dyDescent="0.25">
      <c r="A18" s="30">
        <v>46029</v>
      </c>
      <c r="B18" s="71" t="s">
        <v>372</v>
      </c>
      <c r="C18" s="31" t="s">
        <v>97</v>
      </c>
      <c r="D18" s="72">
        <v>17024</v>
      </c>
      <c r="E18" s="31">
        <v>1</v>
      </c>
      <c r="F18" s="73" t="s">
        <v>373</v>
      </c>
      <c r="G18" s="31" t="s">
        <v>50</v>
      </c>
      <c r="H18" s="31" t="s">
        <v>98</v>
      </c>
      <c r="I18" s="73" t="s">
        <v>374</v>
      </c>
      <c r="J18" s="85">
        <v>44897100</v>
      </c>
      <c r="L18" s="85">
        <v>631117412</v>
      </c>
      <c r="N18" s="74" t="s">
        <v>375</v>
      </c>
      <c r="O18" s="75" t="str">
        <f>VLOOKUP(N18,[1]UPS_SETIIPRESS!$A$2:$B$527,2,0)</f>
        <v>CENTRO QUIRÚRGICO Y ANESTESIOLOGÍA</v>
      </c>
      <c r="P18" s="31">
        <v>29</v>
      </c>
      <c r="Q18" s="31" t="s">
        <v>50</v>
      </c>
      <c r="R18" s="31" t="s">
        <v>70</v>
      </c>
      <c r="S18" s="31" t="s">
        <v>54</v>
      </c>
      <c r="T18" s="31" t="s">
        <v>54</v>
      </c>
      <c r="U18" s="31" t="s">
        <v>99</v>
      </c>
      <c r="V18" s="31" t="s">
        <v>56</v>
      </c>
      <c r="AA18" s="31">
        <v>26766</v>
      </c>
    </row>
    <row r="19" spans="1:27" ht="13.5" x14ac:dyDescent="0.25">
      <c r="A19" s="30">
        <v>46029</v>
      </c>
      <c r="B19" s="71" t="s">
        <v>372</v>
      </c>
      <c r="C19" s="31" t="s">
        <v>100</v>
      </c>
      <c r="D19" s="72">
        <v>17024</v>
      </c>
      <c r="E19" s="31">
        <v>1</v>
      </c>
      <c r="F19" s="73" t="s">
        <v>373</v>
      </c>
      <c r="G19" s="31" t="s">
        <v>60</v>
      </c>
      <c r="H19" s="31" t="s">
        <v>101</v>
      </c>
      <c r="I19" s="73" t="s">
        <v>374</v>
      </c>
      <c r="J19" s="85">
        <v>46041788</v>
      </c>
      <c r="L19" s="85">
        <v>44251084</v>
      </c>
      <c r="N19" s="74" t="s">
        <v>375</v>
      </c>
      <c r="O19" s="75" t="str">
        <f>VLOOKUP(N19,[1]UPS_SETIIPRESS!$A$2:$B$527,2,0)</f>
        <v>CENTRO QUIRÚRGICO Y ANESTESIOLOGÍA</v>
      </c>
      <c r="P19" s="31">
        <v>67</v>
      </c>
      <c r="Q19" s="31" t="s">
        <v>50</v>
      </c>
      <c r="R19" s="31" t="s">
        <v>70</v>
      </c>
      <c r="S19" s="31" t="s">
        <v>54</v>
      </c>
      <c r="T19" s="31" t="s">
        <v>54</v>
      </c>
      <c r="U19" s="31" t="s">
        <v>102</v>
      </c>
      <c r="V19" s="31" t="s">
        <v>56</v>
      </c>
      <c r="AA19" s="31">
        <v>29880</v>
      </c>
    </row>
    <row r="20" spans="1:27" ht="13.5" x14ac:dyDescent="0.25">
      <c r="A20" s="30">
        <v>46029</v>
      </c>
      <c r="B20" s="71" t="s">
        <v>372</v>
      </c>
      <c r="C20" s="31" t="s">
        <v>59</v>
      </c>
      <c r="D20" s="72">
        <v>17024</v>
      </c>
      <c r="E20" s="31">
        <v>1</v>
      </c>
      <c r="F20" s="73" t="s">
        <v>373</v>
      </c>
      <c r="G20" s="31" t="s">
        <v>50</v>
      </c>
      <c r="H20" s="31" t="s">
        <v>78</v>
      </c>
      <c r="I20" s="73" t="s">
        <v>374</v>
      </c>
      <c r="J20" s="85">
        <v>43403659</v>
      </c>
      <c r="L20" s="85">
        <v>43261327</v>
      </c>
      <c r="N20" s="74" t="s">
        <v>375</v>
      </c>
      <c r="O20" s="75" t="str">
        <f>VLOOKUP(N20,[1]UPS_SETIIPRESS!$A$2:$B$527,2,0)</f>
        <v>CENTRO QUIRÚRGICO Y ANESTESIOLOGÍA</v>
      </c>
      <c r="P20" s="31">
        <v>40</v>
      </c>
      <c r="Q20" s="31" t="s">
        <v>50</v>
      </c>
      <c r="R20" s="31" t="s">
        <v>103</v>
      </c>
      <c r="S20" s="31" t="s">
        <v>76</v>
      </c>
      <c r="T20" s="31" t="s">
        <v>54</v>
      </c>
      <c r="U20" s="31" t="s">
        <v>80</v>
      </c>
      <c r="V20" s="31" t="s">
        <v>56</v>
      </c>
      <c r="AA20" s="31">
        <v>30520</v>
      </c>
    </row>
    <row r="21" spans="1:27" ht="13.5" x14ac:dyDescent="0.25">
      <c r="A21" s="30">
        <v>46029</v>
      </c>
      <c r="B21" s="71" t="s">
        <v>372</v>
      </c>
      <c r="C21" s="31" t="s">
        <v>67</v>
      </c>
      <c r="D21" s="72">
        <v>17024</v>
      </c>
      <c r="E21" s="31">
        <v>1</v>
      </c>
      <c r="F21" s="73" t="s">
        <v>373</v>
      </c>
      <c r="G21" s="31" t="s">
        <v>50</v>
      </c>
      <c r="H21" s="31" t="s">
        <v>78</v>
      </c>
      <c r="I21" s="73" t="s">
        <v>374</v>
      </c>
      <c r="J21" s="85">
        <v>43403659</v>
      </c>
      <c r="L21" s="85">
        <v>70860819</v>
      </c>
      <c r="N21" s="74" t="s">
        <v>375</v>
      </c>
      <c r="O21" s="75" t="str">
        <f>VLOOKUP(N21,[1]UPS_SETIIPRESS!$A$2:$B$527,2,0)</f>
        <v>CENTRO QUIRÚRGICO Y ANESTESIOLOGÍA</v>
      </c>
      <c r="P21" s="31">
        <v>22</v>
      </c>
      <c r="Q21" s="31" t="s">
        <v>50</v>
      </c>
      <c r="R21" s="31" t="s">
        <v>58</v>
      </c>
      <c r="S21" s="31" t="s">
        <v>76</v>
      </c>
      <c r="T21" s="31" t="s">
        <v>54</v>
      </c>
      <c r="U21" s="31" t="s">
        <v>80</v>
      </c>
      <c r="V21" s="31" t="s">
        <v>56</v>
      </c>
      <c r="AA21" s="31">
        <v>30520</v>
      </c>
    </row>
    <row r="22" spans="1:27" ht="13.5" x14ac:dyDescent="0.25">
      <c r="A22" s="30">
        <v>46029</v>
      </c>
      <c r="B22" s="71" t="s">
        <v>372</v>
      </c>
      <c r="C22" s="31" t="s">
        <v>59</v>
      </c>
      <c r="D22" s="72">
        <v>17024</v>
      </c>
      <c r="E22" s="31">
        <v>1</v>
      </c>
      <c r="F22" s="73" t="s">
        <v>373</v>
      </c>
      <c r="G22" s="31" t="s">
        <v>50</v>
      </c>
      <c r="H22" s="31" t="s">
        <v>105</v>
      </c>
      <c r="I22" s="73" t="s">
        <v>374</v>
      </c>
      <c r="J22" s="85">
        <v>18174396</v>
      </c>
      <c r="L22" s="85">
        <v>6951180</v>
      </c>
      <c r="N22" s="74" t="s">
        <v>375</v>
      </c>
      <c r="O22" s="75" t="str">
        <f>VLOOKUP(N22,[1]UPS_SETIIPRESS!$A$2:$B$527,2,0)</f>
        <v>CENTRO QUIRÚRGICO Y ANESTESIOLOGÍA</v>
      </c>
      <c r="P22" s="31">
        <v>61</v>
      </c>
      <c r="Q22" s="31" t="s">
        <v>63</v>
      </c>
      <c r="R22" s="31" t="s">
        <v>63</v>
      </c>
      <c r="S22" s="31" t="s">
        <v>54</v>
      </c>
      <c r="T22" s="31" t="s">
        <v>54</v>
      </c>
      <c r="U22" s="31" t="s">
        <v>107</v>
      </c>
      <c r="V22" s="31" t="s">
        <v>56</v>
      </c>
      <c r="AA22" s="31">
        <v>37765</v>
      </c>
    </row>
    <row r="23" spans="1:27" ht="13.5" x14ac:dyDescent="0.25">
      <c r="A23" s="30">
        <v>46029</v>
      </c>
      <c r="B23" s="71" t="s">
        <v>372</v>
      </c>
      <c r="C23" s="31" t="s">
        <v>67</v>
      </c>
      <c r="D23" s="72">
        <v>17024</v>
      </c>
      <c r="E23" s="31">
        <v>1</v>
      </c>
      <c r="F23" s="73" t="s">
        <v>373</v>
      </c>
      <c r="G23" s="31" t="s">
        <v>50</v>
      </c>
      <c r="H23" s="31" t="s">
        <v>105</v>
      </c>
      <c r="I23" s="73" t="s">
        <v>374</v>
      </c>
      <c r="J23" s="85">
        <v>18174396</v>
      </c>
      <c r="L23" s="85">
        <v>43753344</v>
      </c>
      <c r="N23" s="74" t="s">
        <v>375</v>
      </c>
      <c r="O23" s="75" t="str">
        <f>VLOOKUP(N23,[1]UPS_SETIIPRESS!$A$2:$B$527,2,0)</f>
        <v>CENTRO QUIRÚRGICO Y ANESTESIOLOGÍA</v>
      </c>
      <c r="P23" s="31">
        <v>59</v>
      </c>
      <c r="Q23" s="31" t="s">
        <v>50</v>
      </c>
      <c r="R23" s="31" t="s">
        <v>103</v>
      </c>
      <c r="S23" s="31" t="s">
        <v>58</v>
      </c>
      <c r="T23" s="31" t="s">
        <v>54</v>
      </c>
      <c r="U23" s="31" t="s">
        <v>107</v>
      </c>
      <c r="V23" s="31" t="s">
        <v>56</v>
      </c>
      <c r="AA23" s="31">
        <v>37220</v>
      </c>
    </row>
    <row r="24" spans="1:27" ht="13.5" x14ac:dyDescent="0.25">
      <c r="A24" s="30">
        <v>46029</v>
      </c>
      <c r="B24" s="71" t="s">
        <v>372</v>
      </c>
      <c r="C24" s="31" t="s">
        <v>93</v>
      </c>
      <c r="D24" s="72">
        <v>17024</v>
      </c>
      <c r="E24" s="31">
        <v>1</v>
      </c>
      <c r="F24" s="73" t="s">
        <v>373</v>
      </c>
      <c r="G24" s="31" t="s">
        <v>60</v>
      </c>
      <c r="H24" s="31" t="s">
        <v>108</v>
      </c>
      <c r="I24" s="73" t="s">
        <v>374</v>
      </c>
      <c r="J24" s="85">
        <v>25542321</v>
      </c>
      <c r="L24" s="85">
        <v>2837631</v>
      </c>
      <c r="N24" s="74" t="s">
        <v>375</v>
      </c>
      <c r="O24" s="75" t="str">
        <f>VLOOKUP(N24,[1]UPS_SETIIPRESS!$A$2:$B$527,2,0)</f>
        <v>CENTRO QUIRÚRGICO Y ANESTESIOLOGÍA</v>
      </c>
      <c r="P24" s="31">
        <v>56</v>
      </c>
      <c r="Q24" s="31" t="s">
        <v>50</v>
      </c>
      <c r="R24" s="31" t="s">
        <v>103</v>
      </c>
      <c r="S24" s="31" t="s">
        <v>54</v>
      </c>
      <c r="T24" s="31" t="s">
        <v>54</v>
      </c>
      <c r="U24" s="31" t="s">
        <v>109</v>
      </c>
      <c r="V24" s="31" t="s">
        <v>56</v>
      </c>
      <c r="AA24" s="31">
        <v>47562</v>
      </c>
    </row>
    <row r="25" spans="1:27" ht="13.5" x14ac:dyDescent="0.25">
      <c r="A25" s="30">
        <v>46029</v>
      </c>
      <c r="B25" s="71" t="s">
        <v>372</v>
      </c>
      <c r="C25" s="31" t="s">
        <v>97</v>
      </c>
      <c r="D25" s="72">
        <v>17024</v>
      </c>
      <c r="E25" s="31">
        <v>1</v>
      </c>
      <c r="F25" s="73" t="s">
        <v>373</v>
      </c>
      <c r="G25" s="31" t="s">
        <v>60</v>
      </c>
      <c r="H25" s="31" t="s">
        <v>110</v>
      </c>
      <c r="I25" s="73" t="s">
        <v>374</v>
      </c>
      <c r="J25" s="85">
        <v>23928859</v>
      </c>
      <c r="L25" s="85">
        <v>70227369</v>
      </c>
      <c r="N25" s="74" t="s">
        <v>375</v>
      </c>
      <c r="O25" s="75" t="str">
        <f>VLOOKUP(N25,[1]UPS_SETIIPRESS!$A$2:$B$527,2,0)</f>
        <v>CENTRO QUIRÚRGICO Y ANESTESIOLOGÍA</v>
      </c>
      <c r="P25" s="31">
        <v>32</v>
      </c>
      <c r="Q25" s="31" t="s">
        <v>50</v>
      </c>
      <c r="R25" s="31" t="s">
        <v>103</v>
      </c>
      <c r="S25" s="31" t="s">
        <v>54</v>
      </c>
      <c r="T25" s="31" t="s">
        <v>54</v>
      </c>
      <c r="U25" s="31" t="s">
        <v>111</v>
      </c>
      <c r="V25" s="31" t="s">
        <v>56</v>
      </c>
      <c r="AA25" s="31">
        <v>43644</v>
      </c>
    </row>
    <row r="26" spans="1:27" ht="13.5" x14ac:dyDescent="0.25">
      <c r="A26" s="30">
        <v>46029</v>
      </c>
      <c r="B26" s="71" t="s">
        <v>372</v>
      </c>
      <c r="C26" s="31" t="s">
        <v>100</v>
      </c>
      <c r="D26" s="72">
        <v>17024</v>
      </c>
      <c r="E26" s="31">
        <v>1</v>
      </c>
      <c r="F26" s="73" t="s">
        <v>373</v>
      </c>
      <c r="G26" s="31" t="s">
        <v>60</v>
      </c>
      <c r="H26" s="31" t="s">
        <v>110</v>
      </c>
      <c r="I26" s="73" t="s">
        <v>374</v>
      </c>
      <c r="J26" s="85">
        <v>23928859</v>
      </c>
      <c r="L26" s="85">
        <v>25796321</v>
      </c>
      <c r="N26" s="74" t="s">
        <v>375</v>
      </c>
      <c r="O26" s="75" t="str">
        <f>VLOOKUP(N26,[1]UPS_SETIIPRESS!$A$2:$B$527,2,0)</f>
        <v>CENTRO QUIRÚRGICO Y ANESTESIOLOGÍA</v>
      </c>
      <c r="P26" s="31">
        <v>50</v>
      </c>
      <c r="Q26" s="31" t="s">
        <v>50</v>
      </c>
      <c r="R26" s="31" t="s">
        <v>103</v>
      </c>
      <c r="S26" s="31" t="s">
        <v>54</v>
      </c>
      <c r="T26" s="31" t="s">
        <v>54</v>
      </c>
      <c r="U26" s="31" t="s">
        <v>109</v>
      </c>
      <c r="V26" s="31" t="s">
        <v>56</v>
      </c>
      <c r="AA26" s="31">
        <v>47562</v>
      </c>
    </row>
    <row r="27" spans="1:27" ht="13.5" x14ac:dyDescent="0.25">
      <c r="A27" s="30">
        <v>46028</v>
      </c>
      <c r="B27" s="71" t="s">
        <v>372</v>
      </c>
      <c r="C27" s="31" t="s">
        <v>49</v>
      </c>
      <c r="D27" s="72">
        <v>17024</v>
      </c>
      <c r="E27" s="31">
        <v>1</v>
      </c>
      <c r="F27" s="73" t="s">
        <v>373</v>
      </c>
      <c r="G27" s="31" t="s">
        <v>50</v>
      </c>
      <c r="H27" s="31" t="s">
        <v>87</v>
      </c>
      <c r="I27" s="73" t="s">
        <v>374</v>
      </c>
      <c r="J27" s="85">
        <v>45125864</v>
      </c>
      <c r="L27" s="85">
        <v>7471332</v>
      </c>
      <c r="N27" s="74" t="s">
        <v>375</v>
      </c>
      <c r="O27" s="75" t="str">
        <f>VLOOKUP(N27,[1]UPS_SETIIPRESS!$A$2:$B$527,2,0)</f>
        <v>CENTRO QUIRÚRGICO Y ANESTESIOLOGÍA</v>
      </c>
      <c r="P27" s="31">
        <v>63</v>
      </c>
      <c r="Q27" s="31" t="s">
        <v>50</v>
      </c>
      <c r="R27" s="31" t="s">
        <v>103</v>
      </c>
      <c r="S27" s="31" t="s">
        <v>54</v>
      </c>
      <c r="T27" s="31" t="s">
        <v>54</v>
      </c>
      <c r="U27" s="31" t="s">
        <v>112</v>
      </c>
      <c r="V27" s="31" t="s">
        <v>56</v>
      </c>
      <c r="AA27" s="31">
        <v>61590</v>
      </c>
    </row>
    <row r="28" spans="1:27" ht="13.5" x14ac:dyDescent="0.25">
      <c r="A28" s="30">
        <v>46029</v>
      </c>
      <c r="B28" s="71" t="s">
        <v>372</v>
      </c>
      <c r="C28" s="31" t="s">
        <v>49</v>
      </c>
      <c r="D28" s="72">
        <v>17024</v>
      </c>
      <c r="E28" s="31">
        <v>1</v>
      </c>
      <c r="F28" s="73" t="s">
        <v>373</v>
      </c>
      <c r="G28" s="31" t="s">
        <v>60</v>
      </c>
      <c r="H28" s="31" t="s">
        <v>110</v>
      </c>
      <c r="I28" s="73" t="s">
        <v>374</v>
      </c>
      <c r="J28" s="85">
        <v>23928859</v>
      </c>
      <c r="L28" s="85">
        <v>48487842</v>
      </c>
      <c r="N28" s="74" t="s">
        <v>375</v>
      </c>
      <c r="O28" s="75" t="str">
        <f>VLOOKUP(N28,[1]UPS_SETIIPRESS!$A$2:$B$527,2,0)</f>
        <v>CENTRO QUIRÚRGICO Y ANESTESIOLOGÍA</v>
      </c>
      <c r="P28" s="31">
        <v>32</v>
      </c>
      <c r="Q28" s="31" t="s">
        <v>50</v>
      </c>
      <c r="R28" s="31" t="s">
        <v>53</v>
      </c>
      <c r="S28" s="31" t="s">
        <v>76</v>
      </c>
      <c r="T28" s="31" t="s">
        <v>54</v>
      </c>
      <c r="U28" s="31" t="s">
        <v>113</v>
      </c>
      <c r="V28" s="31" t="s">
        <v>56</v>
      </c>
      <c r="AA28" s="31">
        <v>44970</v>
      </c>
    </row>
    <row r="29" spans="1:27" ht="13.5" x14ac:dyDescent="0.25">
      <c r="A29" s="30">
        <v>46030</v>
      </c>
      <c r="B29" s="71" t="s">
        <v>372</v>
      </c>
      <c r="C29" s="31" t="s">
        <v>59</v>
      </c>
      <c r="D29" s="72">
        <v>17024</v>
      </c>
      <c r="E29" s="31">
        <v>1</v>
      </c>
      <c r="F29" s="73" t="s">
        <v>373</v>
      </c>
      <c r="G29" s="31" t="s">
        <v>60</v>
      </c>
      <c r="H29" s="31" t="s">
        <v>61</v>
      </c>
      <c r="I29" s="73" t="s">
        <v>374</v>
      </c>
      <c r="J29" s="85">
        <v>21523144</v>
      </c>
      <c r="L29" s="85" t="s">
        <v>91</v>
      </c>
      <c r="N29" s="74" t="s">
        <v>375</v>
      </c>
      <c r="O29" s="75" t="str">
        <f>VLOOKUP(N29,[1]UPS_SETIIPRESS!$A$2:$B$527,2,0)</f>
        <v>CENTRO QUIRÚRGICO Y ANESTESIOLOGÍA</v>
      </c>
      <c r="P29" s="31">
        <v>50</v>
      </c>
      <c r="Q29" s="31" t="s">
        <v>63</v>
      </c>
      <c r="R29" s="31" t="s">
        <v>63</v>
      </c>
      <c r="S29" s="31" t="s">
        <v>54</v>
      </c>
      <c r="T29" s="31" t="s">
        <v>54</v>
      </c>
      <c r="U29" s="31" t="s">
        <v>64</v>
      </c>
      <c r="V29" s="31" t="s">
        <v>56</v>
      </c>
      <c r="AA29" s="31">
        <v>90874</v>
      </c>
    </row>
    <row r="30" spans="1:27" ht="13.5" x14ac:dyDescent="0.25">
      <c r="A30" s="30">
        <v>46030</v>
      </c>
      <c r="B30" s="71" t="s">
        <v>372</v>
      </c>
      <c r="C30" s="31" t="s">
        <v>59</v>
      </c>
      <c r="D30" s="72">
        <v>17024</v>
      </c>
      <c r="E30" s="31">
        <v>1</v>
      </c>
      <c r="F30" s="73" t="s">
        <v>373</v>
      </c>
      <c r="G30" s="31" t="s">
        <v>50</v>
      </c>
      <c r="H30" s="31" t="s">
        <v>114</v>
      </c>
      <c r="I30" s="73" t="s">
        <v>374</v>
      </c>
      <c r="J30" s="85">
        <v>18174396</v>
      </c>
      <c r="L30" s="85">
        <v>10369355</v>
      </c>
      <c r="N30" s="74" t="s">
        <v>375</v>
      </c>
      <c r="O30" s="75" t="str">
        <f>VLOOKUP(N30,[1]UPS_SETIIPRESS!$A$2:$B$527,2,0)</f>
        <v>CENTRO QUIRÚRGICO Y ANESTESIOLOGÍA</v>
      </c>
      <c r="P30" s="31">
        <v>63</v>
      </c>
      <c r="Q30" s="31" t="s">
        <v>63</v>
      </c>
      <c r="R30" s="31" t="s">
        <v>63</v>
      </c>
      <c r="S30" s="31" t="s">
        <v>54</v>
      </c>
      <c r="T30" s="31" t="s">
        <v>54</v>
      </c>
      <c r="U30" s="31" t="s">
        <v>116</v>
      </c>
      <c r="V30" s="31" t="s">
        <v>56</v>
      </c>
      <c r="AA30" s="31">
        <v>36561</v>
      </c>
    </row>
    <row r="31" spans="1:27" ht="13.5" x14ac:dyDescent="0.25">
      <c r="A31" s="30">
        <v>46030</v>
      </c>
      <c r="B31" s="71" t="s">
        <v>372</v>
      </c>
      <c r="C31" s="31" t="s">
        <v>59</v>
      </c>
      <c r="D31" s="72">
        <v>17024</v>
      </c>
      <c r="E31" s="31">
        <v>1</v>
      </c>
      <c r="F31" s="73" t="s">
        <v>373</v>
      </c>
      <c r="G31" s="31" t="s">
        <v>50</v>
      </c>
      <c r="H31" s="31" t="s">
        <v>117</v>
      </c>
      <c r="I31" s="73" t="s">
        <v>374</v>
      </c>
      <c r="J31" s="85">
        <v>42948211</v>
      </c>
      <c r="L31" s="85">
        <v>32405798</v>
      </c>
      <c r="N31" s="74" t="s">
        <v>375</v>
      </c>
      <c r="O31" s="75" t="str">
        <f>VLOOKUP(N31,[1]UPS_SETIIPRESS!$A$2:$B$527,2,0)</f>
        <v>CENTRO QUIRÚRGICO Y ANESTESIOLOGÍA</v>
      </c>
      <c r="P31" s="31">
        <v>66</v>
      </c>
      <c r="Q31" s="31" t="s">
        <v>50</v>
      </c>
      <c r="R31" s="31" t="s">
        <v>63</v>
      </c>
      <c r="S31" s="31" t="s">
        <v>54</v>
      </c>
      <c r="T31" s="31" t="s">
        <v>54</v>
      </c>
      <c r="U31" s="31" t="s">
        <v>118</v>
      </c>
      <c r="V31" s="31" t="s">
        <v>56</v>
      </c>
      <c r="AA31" s="31">
        <v>64635</v>
      </c>
    </row>
    <row r="32" spans="1:27" ht="13.5" x14ac:dyDescent="0.25">
      <c r="A32" s="30">
        <v>46030</v>
      </c>
      <c r="B32" s="71" t="s">
        <v>372</v>
      </c>
      <c r="C32" s="31" t="s">
        <v>67</v>
      </c>
      <c r="D32" s="72">
        <v>17024</v>
      </c>
      <c r="E32" s="31">
        <v>1</v>
      </c>
      <c r="F32" s="73" t="s">
        <v>373</v>
      </c>
      <c r="G32" s="31" t="s">
        <v>50</v>
      </c>
      <c r="H32" s="31" t="s">
        <v>117</v>
      </c>
      <c r="I32" s="73" t="s">
        <v>374</v>
      </c>
      <c r="J32" s="85">
        <v>42948211</v>
      </c>
      <c r="L32" s="85">
        <v>40309878</v>
      </c>
      <c r="N32" s="74" t="s">
        <v>375</v>
      </c>
      <c r="O32" s="75" t="str">
        <f>VLOOKUP(N32,[1]UPS_SETIIPRESS!$A$2:$B$527,2,0)</f>
        <v>CENTRO QUIRÚRGICO Y ANESTESIOLOGÍA</v>
      </c>
      <c r="P32" s="31">
        <v>50</v>
      </c>
      <c r="Q32" s="31" t="s">
        <v>50</v>
      </c>
      <c r="R32" s="31" t="s">
        <v>58</v>
      </c>
      <c r="S32" s="31" t="s">
        <v>54</v>
      </c>
      <c r="T32" s="31" t="s">
        <v>56</v>
      </c>
      <c r="U32" s="31" t="s">
        <v>118</v>
      </c>
      <c r="V32" s="31" t="s">
        <v>56</v>
      </c>
      <c r="AA32" s="31">
        <v>64493</v>
      </c>
    </row>
    <row r="33" spans="1:27" ht="13.5" x14ac:dyDescent="0.25">
      <c r="A33" s="30">
        <v>46030</v>
      </c>
      <c r="B33" s="71" t="s">
        <v>372</v>
      </c>
      <c r="C33" s="31" t="s">
        <v>59</v>
      </c>
      <c r="D33" s="72">
        <v>17024</v>
      </c>
      <c r="E33" s="31">
        <v>1</v>
      </c>
      <c r="F33" s="73" t="s">
        <v>373</v>
      </c>
      <c r="G33" s="31" t="s">
        <v>50</v>
      </c>
      <c r="H33" s="31" t="s">
        <v>119</v>
      </c>
      <c r="I33" s="73" t="s">
        <v>374</v>
      </c>
      <c r="J33" s="85">
        <v>16654486</v>
      </c>
      <c r="L33" s="85">
        <v>10801506</v>
      </c>
      <c r="N33" s="74" t="s">
        <v>375</v>
      </c>
      <c r="O33" s="75" t="str">
        <f>VLOOKUP(N33,[1]UPS_SETIIPRESS!$A$2:$B$527,2,0)</f>
        <v>CENTRO QUIRÚRGICO Y ANESTESIOLOGÍA</v>
      </c>
      <c r="P33" s="31">
        <v>78</v>
      </c>
      <c r="Q33" s="31" t="s">
        <v>50</v>
      </c>
      <c r="R33" s="31" t="s">
        <v>103</v>
      </c>
      <c r="S33" s="31" t="s">
        <v>54</v>
      </c>
      <c r="T33" s="31" t="s">
        <v>54</v>
      </c>
      <c r="U33" s="31" t="s">
        <v>84</v>
      </c>
      <c r="V33" s="31" t="s">
        <v>56</v>
      </c>
      <c r="AA33" s="31">
        <v>52649</v>
      </c>
    </row>
    <row r="34" spans="1:27" ht="13.5" x14ac:dyDescent="0.25">
      <c r="A34" s="30">
        <v>46030</v>
      </c>
      <c r="B34" s="71" t="s">
        <v>372</v>
      </c>
      <c r="C34" s="31" t="s">
        <v>67</v>
      </c>
      <c r="D34" s="72">
        <v>17024</v>
      </c>
      <c r="E34" s="31">
        <v>1</v>
      </c>
      <c r="F34" s="73" t="s">
        <v>373</v>
      </c>
      <c r="G34" s="31" t="s">
        <v>50</v>
      </c>
      <c r="H34" s="31" t="s">
        <v>120</v>
      </c>
      <c r="I34" s="73" t="s">
        <v>374</v>
      </c>
      <c r="J34" s="85">
        <v>42111744</v>
      </c>
      <c r="L34" s="85">
        <v>43661308</v>
      </c>
      <c r="N34" s="74" t="s">
        <v>375</v>
      </c>
      <c r="O34" s="75" t="str">
        <f>VLOOKUP(N34,[1]UPS_SETIIPRESS!$A$2:$B$527,2,0)</f>
        <v>CENTRO QUIRÚRGICO Y ANESTESIOLOGÍA</v>
      </c>
      <c r="P34" s="31">
        <v>81</v>
      </c>
      <c r="Q34" s="31" t="s">
        <v>50</v>
      </c>
      <c r="R34" s="31" t="s">
        <v>53</v>
      </c>
      <c r="S34" s="31" t="s">
        <v>54</v>
      </c>
      <c r="T34" s="31" t="s">
        <v>54</v>
      </c>
      <c r="U34" s="31" t="s">
        <v>84</v>
      </c>
      <c r="V34" s="31" t="s">
        <v>56</v>
      </c>
      <c r="AA34" s="31">
        <v>55840</v>
      </c>
    </row>
    <row r="35" spans="1:27" ht="13.5" x14ac:dyDescent="0.25">
      <c r="A35" s="30">
        <v>46030</v>
      </c>
      <c r="B35" s="71" t="s">
        <v>372</v>
      </c>
      <c r="C35" s="31" t="s">
        <v>59</v>
      </c>
      <c r="D35" s="72">
        <v>17024</v>
      </c>
      <c r="E35" s="31">
        <v>1</v>
      </c>
      <c r="F35" s="73" t="s">
        <v>373</v>
      </c>
      <c r="G35" s="31" t="s">
        <v>60</v>
      </c>
      <c r="H35" s="31" t="s">
        <v>101</v>
      </c>
      <c r="I35" s="73" t="s">
        <v>374</v>
      </c>
      <c r="J35" s="85">
        <v>46041788</v>
      </c>
      <c r="L35" s="85">
        <v>40861422</v>
      </c>
      <c r="N35" s="74" t="s">
        <v>375</v>
      </c>
      <c r="O35" s="75" t="str">
        <f>VLOOKUP(N35,[1]UPS_SETIIPRESS!$A$2:$B$527,2,0)</f>
        <v>CENTRO QUIRÚRGICO Y ANESTESIOLOGÍA</v>
      </c>
      <c r="P35" s="31">
        <v>84</v>
      </c>
      <c r="Q35" s="31" t="s">
        <v>50</v>
      </c>
      <c r="R35" s="31" t="s">
        <v>53</v>
      </c>
      <c r="S35" s="31" t="s">
        <v>54</v>
      </c>
      <c r="T35" s="31" t="s">
        <v>54</v>
      </c>
      <c r="U35" s="31">
        <v>210301</v>
      </c>
      <c r="V35" s="31" t="s">
        <v>56</v>
      </c>
      <c r="AA35" s="31" t="s">
        <v>122</v>
      </c>
    </row>
    <row r="36" spans="1:27" ht="13.5" x14ac:dyDescent="0.25">
      <c r="A36" s="30">
        <v>46030</v>
      </c>
      <c r="B36" s="71" t="s">
        <v>372</v>
      </c>
      <c r="C36" s="31" t="s">
        <v>97</v>
      </c>
      <c r="D36" s="72">
        <v>17024</v>
      </c>
      <c r="E36" s="31">
        <v>1</v>
      </c>
      <c r="F36" s="73" t="s">
        <v>373</v>
      </c>
      <c r="G36" s="31" t="s">
        <v>60</v>
      </c>
      <c r="H36" s="31" t="s">
        <v>101</v>
      </c>
      <c r="I36" s="73" t="s">
        <v>374</v>
      </c>
      <c r="J36" s="85">
        <v>46041788</v>
      </c>
      <c r="L36" s="85">
        <v>21132418</v>
      </c>
      <c r="N36" s="74" t="s">
        <v>375</v>
      </c>
      <c r="O36" s="75" t="str">
        <f>VLOOKUP(N36,[1]UPS_SETIIPRESS!$A$2:$B$527,2,0)</f>
        <v>CENTRO QUIRÚRGICO Y ANESTESIOLOGÍA</v>
      </c>
      <c r="P36" s="31">
        <v>53</v>
      </c>
      <c r="Q36" s="31" t="s">
        <v>63</v>
      </c>
      <c r="R36" s="31" t="s">
        <v>63</v>
      </c>
      <c r="S36" s="31" t="s">
        <v>54</v>
      </c>
      <c r="T36" s="31" t="s">
        <v>54</v>
      </c>
      <c r="U36" s="31" t="s">
        <v>96</v>
      </c>
      <c r="V36" s="31" t="s">
        <v>56</v>
      </c>
      <c r="AA36" s="31">
        <v>29870</v>
      </c>
    </row>
    <row r="37" spans="1:27" ht="13.5" x14ac:dyDescent="0.25">
      <c r="A37" s="30">
        <v>46030</v>
      </c>
      <c r="B37" s="71" t="s">
        <v>372</v>
      </c>
      <c r="C37" s="31" t="s">
        <v>100</v>
      </c>
      <c r="D37" s="72">
        <v>17024</v>
      </c>
      <c r="E37" s="31">
        <v>1</v>
      </c>
      <c r="F37" s="73" t="s">
        <v>373</v>
      </c>
      <c r="G37" s="31" t="s">
        <v>60</v>
      </c>
      <c r="H37" s="31" t="s">
        <v>101</v>
      </c>
      <c r="I37" s="73" t="s">
        <v>374</v>
      </c>
      <c r="J37" s="85">
        <v>46041788</v>
      </c>
      <c r="L37" s="85">
        <v>42968719</v>
      </c>
      <c r="N37" s="74" t="s">
        <v>375</v>
      </c>
      <c r="O37" s="75" t="str">
        <f>VLOOKUP(N37,[1]UPS_SETIIPRESS!$A$2:$B$527,2,0)</f>
        <v>CENTRO QUIRÚRGICO Y ANESTESIOLOGÍA</v>
      </c>
      <c r="P37" s="31">
        <v>40</v>
      </c>
      <c r="Q37" s="31" t="s">
        <v>50</v>
      </c>
      <c r="R37" s="31" t="s">
        <v>103</v>
      </c>
      <c r="S37" s="31" t="s">
        <v>54</v>
      </c>
      <c r="T37" s="31" t="s">
        <v>54</v>
      </c>
      <c r="U37" s="31">
        <v>210909</v>
      </c>
      <c r="V37" s="31" t="s">
        <v>56</v>
      </c>
      <c r="AA37" s="31" t="s">
        <v>123</v>
      </c>
    </row>
    <row r="38" spans="1:27" ht="13.5" x14ac:dyDescent="0.25">
      <c r="A38" s="30">
        <v>46030</v>
      </c>
      <c r="B38" s="71" t="s">
        <v>372</v>
      </c>
      <c r="C38" s="31" t="s">
        <v>59</v>
      </c>
      <c r="D38" s="72">
        <v>17024</v>
      </c>
      <c r="E38" s="31">
        <v>1</v>
      </c>
      <c r="F38" s="73" t="s">
        <v>373</v>
      </c>
      <c r="G38" s="31" t="s">
        <v>50</v>
      </c>
      <c r="H38" s="31" t="s">
        <v>124</v>
      </c>
      <c r="I38" s="73" t="s">
        <v>374</v>
      </c>
      <c r="J38" s="85">
        <v>46691567</v>
      </c>
      <c r="L38" s="85">
        <v>403664722</v>
      </c>
      <c r="N38" s="74" t="s">
        <v>375</v>
      </c>
      <c r="O38" s="75" t="str">
        <f>VLOOKUP(N38,[1]UPS_SETIIPRESS!$A$2:$B$527,2,0)</f>
        <v>CENTRO QUIRÚRGICO Y ANESTESIOLOGÍA</v>
      </c>
      <c r="P38" s="31">
        <v>80</v>
      </c>
      <c r="Q38" s="31" t="s">
        <v>50</v>
      </c>
      <c r="R38" s="31" t="s">
        <v>103</v>
      </c>
      <c r="S38" s="31" t="s">
        <v>54</v>
      </c>
      <c r="T38" s="31" t="s">
        <v>54</v>
      </c>
      <c r="U38" s="31" t="s">
        <v>126</v>
      </c>
      <c r="V38" s="31" t="s">
        <v>56</v>
      </c>
      <c r="AA38" s="31">
        <v>66782</v>
      </c>
    </row>
    <row r="39" spans="1:27" ht="13.5" x14ac:dyDescent="0.25">
      <c r="A39" s="30">
        <v>46029</v>
      </c>
      <c r="B39" s="71" t="s">
        <v>372</v>
      </c>
      <c r="C39" s="31" t="s">
        <v>127</v>
      </c>
      <c r="D39" s="72">
        <v>17024</v>
      </c>
      <c r="E39" s="31">
        <v>1</v>
      </c>
      <c r="F39" s="73" t="s">
        <v>373</v>
      </c>
      <c r="G39" s="31" t="s">
        <v>50</v>
      </c>
      <c r="H39" s="31" t="s">
        <v>87</v>
      </c>
      <c r="I39" s="73" t="s">
        <v>374</v>
      </c>
      <c r="J39" s="85">
        <v>45125864</v>
      </c>
      <c r="L39" s="85">
        <v>7471332</v>
      </c>
      <c r="N39" s="74" t="s">
        <v>375</v>
      </c>
      <c r="O39" s="75" t="str">
        <f>VLOOKUP(N39,[1]UPS_SETIIPRESS!$A$2:$B$527,2,0)</f>
        <v>CENTRO QUIRÚRGICO Y ANESTESIOLOGÍA</v>
      </c>
      <c r="P39" s="31">
        <v>63</v>
      </c>
      <c r="Q39" s="31" t="s">
        <v>50</v>
      </c>
      <c r="R39" s="31" t="s">
        <v>103</v>
      </c>
      <c r="S39" s="31" t="s">
        <v>58</v>
      </c>
      <c r="T39" s="31" t="s">
        <v>54</v>
      </c>
      <c r="U39" s="31" t="s">
        <v>112</v>
      </c>
      <c r="V39" s="31" t="s">
        <v>56</v>
      </c>
      <c r="AA39" s="31">
        <v>61590</v>
      </c>
    </row>
    <row r="40" spans="1:27" ht="13.5" x14ac:dyDescent="0.25">
      <c r="A40" s="30">
        <v>46029</v>
      </c>
      <c r="B40" s="71" t="s">
        <v>372</v>
      </c>
      <c r="C40" s="31" t="s">
        <v>49</v>
      </c>
      <c r="D40" s="72">
        <v>17024</v>
      </c>
      <c r="E40" s="31">
        <v>1</v>
      </c>
      <c r="F40" s="73" t="s">
        <v>373</v>
      </c>
      <c r="G40" s="31" t="s">
        <v>60</v>
      </c>
      <c r="H40" s="31" t="s">
        <v>110</v>
      </c>
      <c r="I40" s="73" t="s">
        <v>374</v>
      </c>
      <c r="J40" s="85">
        <v>23928859</v>
      </c>
      <c r="L40" s="85">
        <v>48487842</v>
      </c>
      <c r="N40" s="74" t="s">
        <v>375</v>
      </c>
      <c r="O40" s="75" t="str">
        <f>VLOOKUP(N40,[1]UPS_SETIIPRESS!$A$2:$B$527,2,0)</f>
        <v>CENTRO QUIRÚRGICO Y ANESTESIOLOGÍA</v>
      </c>
      <c r="P40" s="31">
        <v>32</v>
      </c>
      <c r="Q40" s="31" t="s">
        <v>50</v>
      </c>
      <c r="R40" s="31" t="s">
        <v>70</v>
      </c>
      <c r="S40" s="31" t="s">
        <v>54</v>
      </c>
      <c r="T40" s="31" t="s">
        <v>54</v>
      </c>
      <c r="U40" s="31" t="s">
        <v>113</v>
      </c>
      <c r="V40" s="31" t="s">
        <v>56</v>
      </c>
      <c r="AA40" s="31">
        <v>44970</v>
      </c>
    </row>
    <row r="41" spans="1:27" ht="13.5" x14ac:dyDescent="0.25">
      <c r="A41" s="30">
        <v>46030</v>
      </c>
      <c r="B41" s="71" t="s">
        <v>372</v>
      </c>
      <c r="C41" s="31" t="s">
        <v>127</v>
      </c>
      <c r="D41" s="72">
        <v>17024</v>
      </c>
      <c r="E41" s="31">
        <v>1</v>
      </c>
      <c r="F41" s="73" t="s">
        <v>373</v>
      </c>
      <c r="G41" s="31" t="s">
        <v>50</v>
      </c>
      <c r="H41" s="31" t="s">
        <v>98</v>
      </c>
      <c r="I41" s="73" t="s">
        <v>374</v>
      </c>
      <c r="J41" s="85">
        <v>44897100</v>
      </c>
      <c r="L41" s="85">
        <v>10698661</v>
      </c>
      <c r="N41" s="74" t="s">
        <v>375</v>
      </c>
      <c r="O41" s="75" t="str">
        <f>VLOOKUP(N41,[1]UPS_SETIIPRESS!$A$2:$B$527,2,0)</f>
        <v>CENTRO QUIRÚRGICO Y ANESTESIOLOGÍA</v>
      </c>
      <c r="P41" s="31">
        <v>48</v>
      </c>
      <c r="Q41" s="31" t="s">
        <v>63</v>
      </c>
      <c r="R41" s="31" t="s">
        <v>134</v>
      </c>
      <c r="S41" s="31" t="s">
        <v>54</v>
      </c>
      <c r="T41" s="31" t="s">
        <v>54</v>
      </c>
      <c r="U41" s="31" t="s">
        <v>135</v>
      </c>
      <c r="V41" s="31" t="s">
        <v>56</v>
      </c>
      <c r="AA41" s="31">
        <v>26735</v>
      </c>
    </row>
    <row r="42" spans="1:27" ht="13.5" x14ac:dyDescent="0.25">
      <c r="A42" s="30">
        <v>46030</v>
      </c>
      <c r="B42" s="71" t="s">
        <v>372</v>
      </c>
      <c r="C42" s="31" t="s">
        <v>127</v>
      </c>
      <c r="D42" s="72">
        <v>17024</v>
      </c>
      <c r="E42" s="31">
        <v>1</v>
      </c>
      <c r="F42" s="73" t="s">
        <v>373</v>
      </c>
      <c r="G42" s="31" t="s">
        <v>60</v>
      </c>
      <c r="H42" s="31" t="s">
        <v>137</v>
      </c>
      <c r="I42" s="73" t="s">
        <v>374</v>
      </c>
      <c r="J42" s="85">
        <v>20078680</v>
      </c>
      <c r="L42" s="85">
        <v>6671876</v>
      </c>
      <c r="N42" s="74" t="s">
        <v>375</v>
      </c>
      <c r="O42" s="75" t="str">
        <f>VLOOKUP(N42,[1]UPS_SETIIPRESS!$A$2:$B$527,2,0)</f>
        <v>CENTRO QUIRÚRGICO Y ANESTESIOLOGÍA</v>
      </c>
      <c r="P42" s="31">
        <v>52</v>
      </c>
      <c r="Q42" s="31" t="s">
        <v>50</v>
      </c>
      <c r="R42" s="31" t="s">
        <v>103</v>
      </c>
      <c r="S42" s="31" t="s">
        <v>58</v>
      </c>
      <c r="T42" s="31" t="s">
        <v>54</v>
      </c>
      <c r="U42" s="31" t="s">
        <v>138</v>
      </c>
      <c r="V42" s="31" t="s">
        <v>56</v>
      </c>
      <c r="AA42" s="31">
        <v>47562</v>
      </c>
    </row>
    <row r="43" spans="1:27" ht="13.5" x14ac:dyDescent="0.25">
      <c r="A43" s="30">
        <v>46031</v>
      </c>
      <c r="B43" s="71" t="s">
        <v>372</v>
      </c>
      <c r="C43" s="31" t="s">
        <v>59</v>
      </c>
      <c r="D43" s="72">
        <v>17024</v>
      </c>
      <c r="E43" s="31">
        <v>1</v>
      </c>
      <c r="F43" s="73" t="s">
        <v>373</v>
      </c>
      <c r="G43" s="31" t="s">
        <v>60</v>
      </c>
      <c r="H43" s="31" t="s">
        <v>61</v>
      </c>
      <c r="I43" s="73" t="s">
        <v>374</v>
      </c>
      <c r="J43" s="85">
        <v>21523144</v>
      </c>
      <c r="L43" s="85" t="s">
        <v>91</v>
      </c>
      <c r="N43" s="74" t="s">
        <v>375</v>
      </c>
      <c r="O43" s="75" t="str">
        <f>VLOOKUP(N43,[1]UPS_SETIIPRESS!$A$2:$B$527,2,0)</f>
        <v>CENTRO QUIRÚRGICO Y ANESTESIOLOGÍA</v>
      </c>
      <c r="P43" s="31">
        <v>50</v>
      </c>
      <c r="Q43" s="31" t="s">
        <v>63</v>
      </c>
      <c r="R43" s="31" t="s">
        <v>63</v>
      </c>
      <c r="S43" s="31" t="s">
        <v>54</v>
      </c>
      <c r="T43" s="31" t="s">
        <v>54</v>
      </c>
      <c r="U43" s="31" t="s">
        <v>64</v>
      </c>
      <c r="V43" s="31" t="s">
        <v>56</v>
      </c>
      <c r="AA43" s="31">
        <v>90874</v>
      </c>
    </row>
    <row r="44" spans="1:27" ht="13.5" x14ac:dyDescent="0.25">
      <c r="A44" s="30">
        <v>46031</v>
      </c>
      <c r="B44" s="71" t="s">
        <v>372</v>
      </c>
      <c r="C44" s="31" t="s">
        <v>67</v>
      </c>
      <c r="D44" s="72">
        <v>17024</v>
      </c>
      <c r="E44" s="31">
        <v>1</v>
      </c>
      <c r="F44" s="73" t="s">
        <v>373</v>
      </c>
      <c r="G44" s="31" t="s">
        <v>60</v>
      </c>
      <c r="H44" s="31" t="s">
        <v>61</v>
      </c>
      <c r="I44" s="73" t="s">
        <v>374</v>
      </c>
      <c r="J44" s="85">
        <v>21523144</v>
      </c>
      <c r="L44" s="85">
        <v>61807519</v>
      </c>
      <c r="N44" s="74" t="s">
        <v>375</v>
      </c>
      <c r="O44" s="75" t="str">
        <f>VLOOKUP(N44,[1]UPS_SETIIPRESS!$A$2:$B$527,2,0)</f>
        <v>CENTRO QUIRÚRGICO Y ANESTESIOLOGÍA</v>
      </c>
      <c r="P44" s="31">
        <v>18</v>
      </c>
      <c r="Q44" s="31" t="s">
        <v>50</v>
      </c>
      <c r="R44" s="31" t="s">
        <v>63</v>
      </c>
      <c r="S44" s="31" t="s">
        <v>54</v>
      </c>
      <c r="T44" s="31" t="s">
        <v>54</v>
      </c>
      <c r="U44" s="31" t="s">
        <v>64</v>
      </c>
      <c r="V44" s="31" t="s">
        <v>56</v>
      </c>
      <c r="AA44" s="31">
        <v>90874</v>
      </c>
    </row>
    <row r="45" spans="1:27" ht="13.5" x14ac:dyDescent="0.25">
      <c r="A45" s="30">
        <v>46031</v>
      </c>
      <c r="B45" s="71" t="s">
        <v>372</v>
      </c>
      <c r="C45" s="31" t="s">
        <v>93</v>
      </c>
      <c r="D45" s="72">
        <v>17024</v>
      </c>
      <c r="E45" s="31">
        <v>1</v>
      </c>
      <c r="F45" s="73" t="s">
        <v>373</v>
      </c>
      <c r="G45" s="31" t="s">
        <v>60</v>
      </c>
      <c r="H45" s="31" t="s">
        <v>137</v>
      </c>
      <c r="I45" s="73" t="s">
        <v>374</v>
      </c>
      <c r="J45" s="85">
        <v>20078680</v>
      </c>
      <c r="L45" s="85">
        <v>10752921</v>
      </c>
      <c r="N45" s="74" t="s">
        <v>375</v>
      </c>
      <c r="O45" s="75" t="str">
        <f>VLOOKUP(N45,[1]UPS_SETIIPRESS!$A$2:$B$527,2,0)</f>
        <v>CENTRO QUIRÚRGICO Y ANESTESIOLOGÍA</v>
      </c>
      <c r="P45" s="31">
        <v>49</v>
      </c>
      <c r="Q45" s="31" t="s">
        <v>63</v>
      </c>
      <c r="R45" s="31" t="s">
        <v>63</v>
      </c>
      <c r="S45" s="31" t="s">
        <v>54</v>
      </c>
      <c r="T45" s="31" t="s">
        <v>54</v>
      </c>
      <c r="U45" s="31" t="s">
        <v>109</v>
      </c>
      <c r="V45" s="31" t="s">
        <v>56</v>
      </c>
      <c r="AA45" s="31">
        <v>47562</v>
      </c>
    </row>
    <row r="46" spans="1:27" ht="13.5" x14ac:dyDescent="0.25">
      <c r="A46" s="30">
        <v>46031</v>
      </c>
      <c r="B46" s="71" t="s">
        <v>372</v>
      </c>
      <c r="C46" s="31" t="s">
        <v>97</v>
      </c>
      <c r="D46" s="72">
        <v>17024</v>
      </c>
      <c r="E46" s="31">
        <v>1</v>
      </c>
      <c r="F46" s="73" t="s">
        <v>373</v>
      </c>
      <c r="G46" s="31" t="s">
        <v>60</v>
      </c>
      <c r="H46" s="31" t="s">
        <v>139</v>
      </c>
      <c r="I46" s="73" t="s">
        <v>374</v>
      </c>
      <c r="J46" s="85">
        <v>18160488</v>
      </c>
      <c r="L46" s="85">
        <v>23926824</v>
      </c>
      <c r="N46" s="74" t="s">
        <v>375</v>
      </c>
      <c r="O46" s="75" t="str">
        <f>VLOOKUP(N46,[1]UPS_SETIIPRESS!$A$2:$B$527,2,0)</f>
        <v>CENTRO QUIRÚRGICO Y ANESTESIOLOGÍA</v>
      </c>
      <c r="P46" s="31">
        <v>67</v>
      </c>
      <c r="Q46" s="31" t="s">
        <v>50</v>
      </c>
      <c r="R46" s="31" t="s">
        <v>103</v>
      </c>
      <c r="S46" s="31" t="s">
        <v>58</v>
      </c>
      <c r="T46" s="31" t="s">
        <v>54</v>
      </c>
      <c r="U46" s="31" t="s">
        <v>109</v>
      </c>
      <c r="V46" s="31" t="s">
        <v>56</v>
      </c>
      <c r="AA46" s="31">
        <v>47562</v>
      </c>
    </row>
    <row r="47" spans="1:27" ht="13.5" x14ac:dyDescent="0.25">
      <c r="A47" s="30">
        <v>46031</v>
      </c>
      <c r="B47" s="71" t="s">
        <v>372</v>
      </c>
      <c r="C47" s="31" t="s">
        <v>100</v>
      </c>
      <c r="D47" s="72">
        <v>17024</v>
      </c>
      <c r="E47" s="31">
        <v>1</v>
      </c>
      <c r="F47" s="73" t="s">
        <v>373</v>
      </c>
      <c r="G47" s="31" t="s">
        <v>60</v>
      </c>
      <c r="H47" s="31" t="s">
        <v>108</v>
      </c>
      <c r="I47" s="73" t="s">
        <v>374</v>
      </c>
      <c r="J47" s="85">
        <v>25542321</v>
      </c>
      <c r="L47" s="85">
        <v>71443812</v>
      </c>
      <c r="N47" s="74" t="s">
        <v>375</v>
      </c>
      <c r="O47" s="75" t="str">
        <f>VLOOKUP(N47,[1]UPS_SETIIPRESS!$A$2:$B$527,2,0)</f>
        <v>CENTRO QUIRÚRGICO Y ANESTESIOLOGÍA</v>
      </c>
      <c r="P47" s="31">
        <v>27</v>
      </c>
      <c r="Q47" s="31" t="s">
        <v>50</v>
      </c>
      <c r="R47" s="31" t="s">
        <v>63</v>
      </c>
      <c r="S47" s="31" t="s">
        <v>54</v>
      </c>
      <c r="T47" s="31" t="s">
        <v>54</v>
      </c>
      <c r="U47" s="31" t="s">
        <v>109</v>
      </c>
      <c r="V47" s="31" t="s">
        <v>56</v>
      </c>
      <c r="AA47" s="31">
        <v>47562</v>
      </c>
    </row>
    <row r="48" spans="1:27" ht="13.5" x14ac:dyDescent="0.25">
      <c r="A48" s="30">
        <v>46031</v>
      </c>
      <c r="B48" s="71" t="s">
        <v>372</v>
      </c>
      <c r="C48" s="31" t="s">
        <v>141</v>
      </c>
      <c r="D48" s="72">
        <v>17024</v>
      </c>
      <c r="E48" s="31">
        <v>1</v>
      </c>
      <c r="F48" s="73" t="s">
        <v>373</v>
      </c>
      <c r="G48" s="31" t="s">
        <v>60</v>
      </c>
      <c r="H48" s="31" t="s">
        <v>142</v>
      </c>
      <c r="I48" s="73" t="s">
        <v>374</v>
      </c>
      <c r="J48" s="85">
        <v>45782157</v>
      </c>
      <c r="L48" s="85" t="s">
        <v>143</v>
      </c>
      <c r="N48" s="74" t="s">
        <v>375</v>
      </c>
      <c r="O48" s="75" t="str">
        <f>VLOOKUP(N48,[1]UPS_SETIIPRESS!$A$2:$B$527,2,0)</f>
        <v>CENTRO QUIRÚRGICO Y ANESTESIOLOGÍA</v>
      </c>
      <c r="P48" s="31">
        <v>22</v>
      </c>
      <c r="Q48" s="31" t="s">
        <v>63</v>
      </c>
      <c r="R48" s="31" t="s">
        <v>103</v>
      </c>
      <c r="S48" s="31" t="s">
        <v>54</v>
      </c>
      <c r="T48" s="31" t="s">
        <v>54</v>
      </c>
      <c r="U48" s="31" t="s">
        <v>109</v>
      </c>
      <c r="V48" s="31" t="s">
        <v>56</v>
      </c>
      <c r="AA48" s="31">
        <v>47562</v>
      </c>
    </row>
    <row r="49" spans="1:27" ht="13.5" x14ac:dyDescent="0.25">
      <c r="A49" s="30">
        <v>46031</v>
      </c>
      <c r="B49" s="71" t="s">
        <v>372</v>
      </c>
      <c r="C49" s="31" t="s">
        <v>59</v>
      </c>
      <c r="D49" s="72">
        <v>17024</v>
      </c>
      <c r="E49" s="31">
        <v>1</v>
      </c>
      <c r="F49" s="73" t="s">
        <v>373</v>
      </c>
      <c r="G49" s="31" t="s">
        <v>50</v>
      </c>
      <c r="H49" s="31" t="s">
        <v>98</v>
      </c>
      <c r="I49" s="73" t="s">
        <v>374</v>
      </c>
      <c r="J49" s="85">
        <v>44897100</v>
      </c>
      <c r="L49" s="85">
        <v>60870484</v>
      </c>
      <c r="N49" s="74" t="s">
        <v>375</v>
      </c>
      <c r="O49" s="75" t="str">
        <f>VLOOKUP(N49,[1]UPS_SETIIPRESS!$A$2:$B$527,2,0)</f>
        <v>CENTRO QUIRÚRGICO Y ANESTESIOLOGÍA</v>
      </c>
      <c r="P49" s="31">
        <v>19</v>
      </c>
      <c r="Q49" s="31" t="s">
        <v>50</v>
      </c>
      <c r="R49" s="31" t="s">
        <v>63</v>
      </c>
      <c r="S49" s="31" t="s">
        <v>54</v>
      </c>
      <c r="T49" s="31" t="s">
        <v>54</v>
      </c>
      <c r="U49" s="31" t="s">
        <v>96</v>
      </c>
      <c r="V49" s="31" t="s">
        <v>56</v>
      </c>
      <c r="AA49" s="31">
        <v>29870</v>
      </c>
    </row>
    <row r="50" spans="1:27" ht="13.5" x14ac:dyDescent="0.25">
      <c r="A50" s="30">
        <v>46031</v>
      </c>
      <c r="B50" s="71" t="s">
        <v>372</v>
      </c>
      <c r="C50" s="31" t="s">
        <v>67</v>
      </c>
      <c r="D50" s="72">
        <v>17024</v>
      </c>
      <c r="E50" s="31">
        <v>1</v>
      </c>
      <c r="F50" s="73" t="s">
        <v>373</v>
      </c>
      <c r="G50" s="31" t="s">
        <v>60</v>
      </c>
      <c r="H50" s="31" t="s">
        <v>72</v>
      </c>
      <c r="I50" s="73" t="s">
        <v>374</v>
      </c>
      <c r="J50" s="85">
        <v>45693874</v>
      </c>
      <c r="L50" s="85">
        <v>76331393</v>
      </c>
      <c r="N50" s="74" t="s">
        <v>375</v>
      </c>
      <c r="O50" s="75" t="str">
        <f>VLOOKUP(N50,[1]UPS_SETIIPRESS!$A$2:$B$527,2,0)</f>
        <v>CENTRO QUIRÚRGICO Y ANESTESIOLOGÍA</v>
      </c>
      <c r="P50" s="31">
        <v>28</v>
      </c>
      <c r="Q50" s="31" t="s">
        <v>50</v>
      </c>
      <c r="R50" s="31" t="s">
        <v>53</v>
      </c>
      <c r="S50" s="31" t="s">
        <v>54</v>
      </c>
      <c r="T50" s="31" t="s">
        <v>54</v>
      </c>
      <c r="U50" s="31" t="s">
        <v>135</v>
      </c>
      <c r="V50" s="31" t="s">
        <v>56</v>
      </c>
      <c r="AA50" s="31">
        <v>26735</v>
      </c>
    </row>
    <row r="51" spans="1:27" ht="13.5" x14ac:dyDescent="0.25">
      <c r="A51" s="30">
        <v>46031</v>
      </c>
      <c r="B51" s="71" t="s">
        <v>372</v>
      </c>
      <c r="C51" s="31" t="s">
        <v>59</v>
      </c>
      <c r="D51" s="72">
        <v>17024</v>
      </c>
      <c r="E51" s="31">
        <v>1</v>
      </c>
      <c r="F51" s="73" t="s">
        <v>373</v>
      </c>
      <c r="G51" s="31" t="s">
        <v>50</v>
      </c>
      <c r="H51" s="31" t="s">
        <v>144</v>
      </c>
      <c r="I51" s="73" t="s">
        <v>374</v>
      </c>
      <c r="J51" s="85">
        <v>43403659</v>
      </c>
      <c r="L51" s="85">
        <v>41254558</v>
      </c>
      <c r="N51" s="74" t="s">
        <v>375</v>
      </c>
      <c r="O51" s="75" t="str">
        <f>VLOOKUP(N51,[1]UPS_SETIIPRESS!$A$2:$B$527,2,0)</f>
        <v>CENTRO QUIRÚRGICO Y ANESTESIOLOGÍA</v>
      </c>
      <c r="P51" s="31">
        <v>44</v>
      </c>
      <c r="Q51" s="31" t="s">
        <v>50</v>
      </c>
      <c r="R51" s="31" t="s">
        <v>103</v>
      </c>
      <c r="S51" s="31" t="s">
        <v>54</v>
      </c>
      <c r="T51" s="31" t="s">
        <v>54</v>
      </c>
      <c r="U51" s="31" t="s">
        <v>80</v>
      </c>
      <c r="V51" s="31" t="s">
        <v>56</v>
      </c>
      <c r="AA51" s="31">
        <v>30520</v>
      </c>
    </row>
    <row r="52" spans="1:27" ht="13.5" x14ac:dyDescent="0.25">
      <c r="A52" s="30">
        <v>46031</v>
      </c>
      <c r="B52" s="71" t="s">
        <v>372</v>
      </c>
      <c r="C52" s="31" t="s">
        <v>93</v>
      </c>
      <c r="D52" s="72">
        <v>17024</v>
      </c>
      <c r="E52" s="31">
        <v>1</v>
      </c>
      <c r="F52" s="73" t="s">
        <v>373</v>
      </c>
      <c r="G52" s="31" t="s">
        <v>60</v>
      </c>
      <c r="H52" s="31" t="s">
        <v>145</v>
      </c>
      <c r="I52" s="73" t="s">
        <v>374</v>
      </c>
      <c r="J52" s="85">
        <v>6058099</v>
      </c>
      <c r="L52" s="85">
        <v>7772053</v>
      </c>
      <c r="N52" s="74" t="s">
        <v>375</v>
      </c>
      <c r="O52" s="75" t="str">
        <f>VLOOKUP(N52,[1]UPS_SETIIPRESS!$A$2:$B$527,2,0)</f>
        <v>CENTRO QUIRÚRGICO Y ANESTESIOLOGÍA</v>
      </c>
      <c r="P52" s="31">
        <v>73</v>
      </c>
      <c r="Q52" s="31" t="s">
        <v>63</v>
      </c>
      <c r="R52" s="31" t="s">
        <v>63</v>
      </c>
      <c r="S52" s="31" t="s">
        <v>54</v>
      </c>
      <c r="T52" s="31" t="s">
        <v>54</v>
      </c>
      <c r="U52" s="31" t="s">
        <v>148</v>
      </c>
      <c r="V52" s="31" t="s">
        <v>56</v>
      </c>
      <c r="AA52" s="31">
        <v>20494</v>
      </c>
    </row>
    <row r="53" spans="1:27" ht="13.5" x14ac:dyDescent="0.25">
      <c r="A53" s="30">
        <v>46031</v>
      </c>
      <c r="B53" s="71" t="s">
        <v>372</v>
      </c>
      <c r="C53" s="31" t="s">
        <v>97</v>
      </c>
      <c r="D53" s="72">
        <v>17024</v>
      </c>
      <c r="E53" s="31">
        <v>1</v>
      </c>
      <c r="F53" s="73" t="s">
        <v>373</v>
      </c>
      <c r="G53" s="31" t="s">
        <v>50</v>
      </c>
      <c r="H53" s="31" t="s">
        <v>149</v>
      </c>
      <c r="I53" s="73" t="s">
        <v>374</v>
      </c>
      <c r="J53" s="85">
        <v>43103030</v>
      </c>
      <c r="L53" s="85">
        <v>7239031</v>
      </c>
      <c r="N53" s="74" t="s">
        <v>375</v>
      </c>
      <c r="O53" s="75" t="str">
        <f>VLOOKUP(N53,[1]UPS_SETIIPRESS!$A$2:$B$527,2,0)</f>
        <v>CENTRO QUIRÚRGICO Y ANESTESIOLOGÍA</v>
      </c>
      <c r="P53" s="31">
        <v>80</v>
      </c>
      <c r="Q53" s="31" t="s">
        <v>63</v>
      </c>
      <c r="R53" s="31" t="s">
        <v>63</v>
      </c>
      <c r="S53" s="31" t="s">
        <v>54</v>
      </c>
      <c r="T53" s="31" t="s">
        <v>54</v>
      </c>
      <c r="U53" s="31" t="s">
        <v>148</v>
      </c>
      <c r="V53" s="31" t="s">
        <v>56</v>
      </c>
      <c r="AA53" s="31">
        <v>58260</v>
      </c>
    </row>
    <row r="54" spans="1:27" ht="13.5" x14ac:dyDescent="0.25">
      <c r="A54" s="30">
        <v>46031</v>
      </c>
      <c r="B54" s="71" t="s">
        <v>372</v>
      </c>
      <c r="C54" s="31" t="s">
        <v>127</v>
      </c>
      <c r="D54" s="72">
        <v>17024</v>
      </c>
      <c r="E54" s="31">
        <v>1</v>
      </c>
      <c r="F54" s="73" t="s">
        <v>373</v>
      </c>
      <c r="G54" s="31" t="s">
        <v>60</v>
      </c>
      <c r="H54" s="31" t="s">
        <v>51</v>
      </c>
      <c r="I54" s="73" t="s">
        <v>374</v>
      </c>
      <c r="J54" s="85">
        <v>21866455</v>
      </c>
      <c r="L54" s="85">
        <v>8393603</v>
      </c>
      <c r="N54" s="74" t="s">
        <v>375</v>
      </c>
      <c r="O54" s="75" t="str">
        <f>VLOOKUP(N54,[1]UPS_SETIIPRESS!$A$2:$B$527,2,0)</f>
        <v>CENTRO QUIRÚRGICO Y ANESTESIOLOGÍA</v>
      </c>
      <c r="P54" s="31">
        <v>92</v>
      </c>
      <c r="Q54" s="31" t="s">
        <v>50</v>
      </c>
      <c r="R54" s="31" t="s">
        <v>103</v>
      </c>
      <c r="S54" s="31" t="s">
        <v>58</v>
      </c>
      <c r="T54" s="31" t="s">
        <v>54</v>
      </c>
      <c r="U54" s="31" t="s">
        <v>150</v>
      </c>
      <c r="V54" s="31" t="s">
        <v>56</v>
      </c>
      <c r="AA54" s="31">
        <v>47000</v>
      </c>
    </row>
    <row r="55" spans="1:27" ht="13.5" x14ac:dyDescent="0.25">
      <c r="A55" s="30">
        <v>46031</v>
      </c>
      <c r="B55" s="71" t="s">
        <v>372</v>
      </c>
      <c r="C55" s="31" t="s">
        <v>49</v>
      </c>
      <c r="D55" s="72">
        <v>17024</v>
      </c>
      <c r="E55" s="31">
        <v>1</v>
      </c>
      <c r="F55" s="73" t="s">
        <v>373</v>
      </c>
      <c r="G55" s="31" t="s">
        <v>60</v>
      </c>
      <c r="H55" s="31" t="s">
        <v>108</v>
      </c>
      <c r="I55" s="73" t="s">
        <v>374</v>
      </c>
      <c r="J55" s="85">
        <v>25542321</v>
      </c>
      <c r="L55" s="85">
        <v>43355842</v>
      </c>
      <c r="N55" s="74" t="s">
        <v>375</v>
      </c>
      <c r="O55" s="75" t="str">
        <f>VLOOKUP(N55,[1]UPS_SETIIPRESS!$A$2:$B$527,2,0)</f>
        <v>CENTRO QUIRÚRGICO Y ANESTESIOLOGÍA</v>
      </c>
      <c r="P55" s="31">
        <v>45</v>
      </c>
      <c r="Q55" s="31" t="s">
        <v>50</v>
      </c>
      <c r="R55" s="31" t="s">
        <v>53</v>
      </c>
      <c r="S55" s="31" t="s">
        <v>76</v>
      </c>
      <c r="T55" s="31" t="s">
        <v>54</v>
      </c>
      <c r="U55" s="31" t="s">
        <v>109</v>
      </c>
      <c r="V55" s="31" t="s">
        <v>56</v>
      </c>
      <c r="AA55" s="31">
        <v>47562</v>
      </c>
    </row>
    <row r="56" spans="1:27" ht="13.5" x14ac:dyDescent="0.25">
      <c r="A56" s="30">
        <v>46032</v>
      </c>
      <c r="B56" s="71" t="s">
        <v>372</v>
      </c>
      <c r="C56" s="31" t="s">
        <v>59</v>
      </c>
      <c r="D56" s="72">
        <v>17024</v>
      </c>
      <c r="E56" s="31">
        <v>1</v>
      </c>
      <c r="F56" s="73" t="s">
        <v>373</v>
      </c>
      <c r="G56" s="31" t="s">
        <v>60</v>
      </c>
      <c r="H56" s="31" t="s">
        <v>61</v>
      </c>
      <c r="I56" s="73" t="s">
        <v>374</v>
      </c>
      <c r="J56" s="85">
        <v>21523144</v>
      </c>
      <c r="L56" s="85" t="s">
        <v>91</v>
      </c>
      <c r="N56" s="74" t="s">
        <v>375</v>
      </c>
      <c r="O56" s="75" t="str">
        <f>VLOOKUP(N56,[1]UPS_SETIIPRESS!$A$2:$B$527,2,0)</f>
        <v>CENTRO QUIRÚRGICO Y ANESTESIOLOGÍA</v>
      </c>
      <c r="P56" s="31">
        <v>50</v>
      </c>
      <c r="Q56" s="31" t="s">
        <v>63</v>
      </c>
      <c r="R56" s="31" t="s">
        <v>63</v>
      </c>
      <c r="S56" s="31" t="s">
        <v>54</v>
      </c>
      <c r="T56" s="31" t="s">
        <v>54</v>
      </c>
      <c r="U56" s="31" t="s">
        <v>64</v>
      </c>
      <c r="V56" s="31" t="s">
        <v>56</v>
      </c>
      <c r="AA56" s="31">
        <v>90874</v>
      </c>
    </row>
    <row r="57" spans="1:27" ht="13.5" x14ac:dyDescent="0.25">
      <c r="A57" s="30">
        <v>46032</v>
      </c>
      <c r="B57" s="71" t="s">
        <v>372</v>
      </c>
      <c r="C57" s="31" t="s">
        <v>59</v>
      </c>
      <c r="D57" s="72">
        <v>17024</v>
      </c>
      <c r="E57" s="31">
        <v>1</v>
      </c>
      <c r="F57" s="73" t="s">
        <v>373</v>
      </c>
      <c r="G57" s="31" t="s">
        <v>60</v>
      </c>
      <c r="H57" s="31" t="s">
        <v>110</v>
      </c>
      <c r="I57" s="73" t="s">
        <v>374</v>
      </c>
      <c r="J57" s="85">
        <v>23928859</v>
      </c>
      <c r="L57" s="85">
        <v>76387657</v>
      </c>
      <c r="N57" s="74" t="s">
        <v>375</v>
      </c>
      <c r="O57" s="75" t="str">
        <f>VLOOKUP(N57,[1]UPS_SETIIPRESS!$A$2:$B$527,2,0)</f>
        <v>CENTRO QUIRÚRGICO Y ANESTESIOLOGÍA</v>
      </c>
      <c r="P57" s="31">
        <v>29</v>
      </c>
      <c r="Q57" s="31" t="s">
        <v>50</v>
      </c>
      <c r="R57" s="31" t="s">
        <v>53</v>
      </c>
      <c r="S57" s="31" t="s">
        <v>54</v>
      </c>
      <c r="T57" s="31" t="s">
        <v>54</v>
      </c>
      <c r="U57" s="31" t="s">
        <v>151</v>
      </c>
      <c r="V57" s="31" t="s">
        <v>56</v>
      </c>
      <c r="AA57" s="31">
        <v>43644</v>
      </c>
    </row>
    <row r="58" spans="1:27" ht="13.5" x14ac:dyDescent="0.25">
      <c r="A58" s="30">
        <v>46032</v>
      </c>
      <c r="B58" s="71" t="s">
        <v>372</v>
      </c>
      <c r="C58" s="31" t="s">
        <v>59</v>
      </c>
      <c r="D58" s="72">
        <v>17024</v>
      </c>
      <c r="E58" s="31">
        <v>1</v>
      </c>
      <c r="F58" s="73" t="s">
        <v>373</v>
      </c>
      <c r="G58" s="31" t="s">
        <v>60</v>
      </c>
      <c r="H58" s="31" t="s">
        <v>72</v>
      </c>
      <c r="I58" s="73" t="s">
        <v>374</v>
      </c>
      <c r="J58" s="85">
        <v>45693874</v>
      </c>
      <c r="L58" s="85">
        <v>76331393</v>
      </c>
      <c r="N58" s="74" t="s">
        <v>375</v>
      </c>
      <c r="O58" s="75" t="str">
        <f>VLOOKUP(N58,[1]UPS_SETIIPRESS!$A$2:$B$527,2,0)</f>
        <v>CENTRO QUIRÚRGICO Y ANESTESIOLOGÍA</v>
      </c>
      <c r="P58" s="31">
        <v>28</v>
      </c>
      <c r="Q58" s="31" t="s">
        <v>50</v>
      </c>
      <c r="R58" s="31" t="s">
        <v>53</v>
      </c>
      <c r="S58" s="31" t="s">
        <v>54</v>
      </c>
      <c r="T58" s="31" t="s">
        <v>54</v>
      </c>
      <c r="U58" s="31" t="s">
        <v>135</v>
      </c>
      <c r="V58" s="31" t="s">
        <v>56</v>
      </c>
      <c r="AA58" s="31">
        <v>26735</v>
      </c>
    </row>
    <row r="59" spans="1:27" ht="13.5" x14ac:dyDescent="0.25">
      <c r="A59" s="30">
        <v>46031</v>
      </c>
      <c r="B59" s="71" t="s">
        <v>372</v>
      </c>
      <c r="C59" s="31" t="s">
        <v>127</v>
      </c>
      <c r="D59" s="72">
        <v>17024</v>
      </c>
      <c r="E59" s="31">
        <v>1</v>
      </c>
      <c r="F59" s="73" t="s">
        <v>373</v>
      </c>
      <c r="G59" s="31" t="s">
        <v>60</v>
      </c>
      <c r="H59" s="31" t="s">
        <v>152</v>
      </c>
      <c r="I59" s="73" t="s">
        <v>374</v>
      </c>
      <c r="J59" s="85">
        <v>9652446</v>
      </c>
      <c r="L59" s="85">
        <v>43658430</v>
      </c>
      <c r="N59" s="74" t="s">
        <v>375</v>
      </c>
      <c r="O59" s="75" t="str">
        <f>VLOOKUP(N59,[1]UPS_SETIIPRESS!$A$2:$B$527,2,0)</f>
        <v>CENTRO QUIRÚRGICO Y ANESTESIOLOGÍA</v>
      </c>
      <c r="P59" s="31">
        <v>63</v>
      </c>
      <c r="Q59" s="31" t="s">
        <v>50</v>
      </c>
      <c r="R59" s="31" t="s">
        <v>103</v>
      </c>
      <c r="S59" s="31" t="s">
        <v>58</v>
      </c>
      <c r="T59" s="31" t="s">
        <v>54</v>
      </c>
      <c r="U59" s="31" t="s">
        <v>154</v>
      </c>
      <c r="V59" s="31" t="s">
        <v>56</v>
      </c>
      <c r="AA59" s="31">
        <v>47562</v>
      </c>
    </row>
    <row r="60" spans="1:27" ht="13.5" x14ac:dyDescent="0.25">
      <c r="A60" s="30">
        <v>46032</v>
      </c>
      <c r="B60" s="71" t="s">
        <v>372</v>
      </c>
      <c r="C60" s="31" t="s">
        <v>49</v>
      </c>
      <c r="D60" s="72">
        <v>17024</v>
      </c>
      <c r="E60" s="31">
        <v>1</v>
      </c>
      <c r="F60" s="73" t="s">
        <v>373</v>
      </c>
      <c r="G60" s="31" t="s">
        <v>60</v>
      </c>
      <c r="H60" s="31" t="s">
        <v>110</v>
      </c>
      <c r="I60" s="73" t="s">
        <v>374</v>
      </c>
      <c r="J60" s="85">
        <v>23928859</v>
      </c>
      <c r="L60" s="85">
        <v>7617181</v>
      </c>
      <c r="N60" s="74" t="s">
        <v>375</v>
      </c>
      <c r="O60" s="75" t="str">
        <f>VLOOKUP(N60,[1]UPS_SETIIPRESS!$A$2:$B$527,2,0)</f>
        <v>CENTRO QUIRÚRGICO Y ANESTESIOLOGÍA</v>
      </c>
      <c r="P60" s="31">
        <v>57</v>
      </c>
      <c r="Q60" s="31" t="s">
        <v>50</v>
      </c>
      <c r="R60" s="31" t="s">
        <v>103</v>
      </c>
      <c r="S60" s="31" t="s">
        <v>76</v>
      </c>
      <c r="T60" s="31" t="s">
        <v>54</v>
      </c>
      <c r="U60" s="31" t="s">
        <v>155</v>
      </c>
      <c r="V60" s="31" t="s">
        <v>56</v>
      </c>
      <c r="AA60" s="31">
        <v>47562</v>
      </c>
    </row>
    <row r="61" spans="1:27" ht="13.5" x14ac:dyDescent="0.25">
      <c r="A61" s="30">
        <v>46034</v>
      </c>
      <c r="B61" s="71" t="s">
        <v>372</v>
      </c>
      <c r="C61" s="31" t="s">
        <v>59</v>
      </c>
      <c r="D61" s="72">
        <v>17024</v>
      </c>
      <c r="E61" s="31">
        <v>1</v>
      </c>
      <c r="F61" s="73" t="s">
        <v>373</v>
      </c>
      <c r="G61" s="31" t="s">
        <v>60</v>
      </c>
      <c r="H61" s="31" t="s">
        <v>61</v>
      </c>
      <c r="I61" s="73" t="s">
        <v>374</v>
      </c>
      <c r="J61" s="85">
        <v>21523144</v>
      </c>
      <c r="L61" s="85" t="s">
        <v>91</v>
      </c>
      <c r="N61" s="74" t="s">
        <v>375</v>
      </c>
      <c r="O61" s="75" t="str">
        <f>VLOOKUP(N61,[1]UPS_SETIIPRESS!$A$2:$B$527,2,0)</f>
        <v>CENTRO QUIRÚRGICO Y ANESTESIOLOGÍA</v>
      </c>
      <c r="P61" s="31">
        <v>50</v>
      </c>
      <c r="Q61" s="31" t="s">
        <v>63</v>
      </c>
      <c r="R61" s="31" t="s">
        <v>63</v>
      </c>
      <c r="S61" s="31" t="s">
        <v>54</v>
      </c>
      <c r="T61" s="31" t="s">
        <v>54</v>
      </c>
      <c r="U61" s="31" t="s">
        <v>64</v>
      </c>
      <c r="V61" s="31" t="s">
        <v>56</v>
      </c>
      <c r="AA61" s="31">
        <v>90874</v>
      </c>
    </row>
    <row r="62" spans="1:27" ht="13.5" x14ac:dyDescent="0.25">
      <c r="A62" s="30">
        <v>46034</v>
      </c>
      <c r="B62" s="71" t="s">
        <v>372</v>
      </c>
      <c r="C62" s="31" t="s">
        <v>67</v>
      </c>
      <c r="D62" s="72">
        <v>17024</v>
      </c>
      <c r="E62" s="31">
        <v>1</v>
      </c>
      <c r="F62" s="73" t="s">
        <v>373</v>
      </c>
      <c r="G62" s="31" t="s">
        <v>60</v>
      </c>
      <c r="H62" s="31" t="s">
        <v>61</v>
      </c>
      <c r="I62" s="73" t="s">
        <v>374</v>
      </c>
      <c r="J62" s="85">
        <v>21523144</v>
      </c>
      <c r="L62" s="85">
        <v>61807519</v>
      </c>
      <c r="N62" s="74" t="s">
        <v>375</v>
      </c>
      <c r="O62" s="75" t="str">
        <f>VLOOKUP(N62,[1]UPS_SETIIPRESS!$A$2:$B$527,2,0)</f>
        <v>CENTRO QUIRÚRGICO Y ANESTESIOLOGÍA</v>
      </c>
      <c r="P62" s="31">
        <v>18</v>
      </c>
      <c r="Q62" s="31" t="s">
        <v>50</v>
      </c>
      <c r="R62" s="31" t="s">
        <v>63</v>
      </c>
      <c r="S62" s="31" t="s">
        <v>54</v>
      </c>
      <c r="T62" s="31" t="s">
        <v>54</v>
      </c>
      <c r="U62" s="31" t="s">
        <v>64</v>
      </c>
      <c r="V62" s="31" t="s">
        <v>56</v>
      </c>
      <c r="AA62" s="31">
        <v>90874</v>
      </c>
    </row>
    <row r="63" spans="1:27" ht="13.5" x14ac:dyDescent="0.25">
      <c r="A63" s="30">
        <v>46034</v>
      </c>
      <c r="B63" s="71" t="s">
        <v>372</v>
      </c>
      <c r="C63" s="31" t="s">
        <v>69</v>
      </c>
      <c r="D63" s="72">
        <v>17024</v>
      </c>
      <c r="E63" s="31">
        <v>1</v>
      </c>
      <c r="F63" s="73" t="s">
        <v>373</v>
      </c>
      <c r="G63" s="31" t="s">
        <v>60</v>
      </c>
      <c r="H63" s="31" t="s">
        <v>61</v>
      </c>
      <c r="I63" s="73" t="s">
        <v>374</v>
      </c>
      <c r="J63" s="85">
        <v>21523144</v>
      </c>
      <c r="L63" s="85" t="s">
        <v>156</v>
      </c>
      <c r="N63" s="74" t="s">
        <v>375</v>
      </c>
      <c r="O63" s="75" t="str">
        <f>VLOOKUP(N63,[1]UPS_SETIIPRESS!$A$2:$B$527,2,0)</f>
        <v>CENTRO QUIRÚRGICO Y ANESTESIOLOGÍA</v>
      </c>
      <c r="P63" s="31">
        <v>63</v>
      </c>
      <c r="Q63" s="31" t="s">
        <v>63</v>
      </c>
      <c r="R63" s="31" t="s">
        <v>63</v>
      </c>
      <c r="S63" s="31" t="s">
        <v>54</v>
      </c>
      <c r="T63" s="31" t="s">
        <v>54</v>
      </c>
      <c r="U63" s="31" t="s">
        <v>64</v>
      </c>
      <c r="V63" s="31" t="s">
        <v>56</v>
      </c>
      <c r="AA63" s="31">
        <v>90874</v>
      </c>
    </row>
    <row r="64" spans="1:27" ht="13.5" x14ac:dyDescent="0.25">
      <c r="A64" s="30">
        <v>46034</v>
      </c>
      <c r="B64" s="71" t="s">
        <v>372</v>
      </c>
      <c r="C64" s="31" t="s">
        <v>93</v>
      </c>
      <c r="D64" s="72">
        <v>17024</v>
      </c>
      <c r="E64" s="31">
        <v>1</v>
      </c>
      <c r="F64" s="73" t="s">
        <v>373</v>
      </c>
      <c r="G64" s="31" t="s">
        <v>60</v>
      </c>
      <c r="H64" s="31" t="s">
        <v>152</v>
      </c>
      <c r="I64" s="73" t="s">
        <v>374</v>
      </c>
      <c r="J64" s="85">
        <v>9652446</v>
      </c>
      <c r="L64" s="85">
        <v>72851252</v>
      </c>
      <c r="N64" s="74" t="s">
        <v>375</v>
      </c>
      <c r="O64" s="75" t="str">
        <f>VLOOKUP(N64,[1]UPS_SETIIPRESS!$A$2:$B$527,2,0)</f>
        <v>CENTRO QUIRÚRGICO Y ANESTESIOLOGÍA</v>
      </c>
      <c r="P64" s="31">
        <v>20</v>
      </c>
      <c r="Q64" s="31" t="s">
        <v>50</v>
      </c>
      <c r="R64" s="31" t="s">
        <v>53</v>
      </c>
      <c r="S64" s="31" t="s">
        <v>54</v>
      </c>
      <c r="T64" s="31" t="s">
        <v>54</v>
      </c>
      <c r="U64" s="31" t="s">
        <v>157</v>
      </c>
      <c r="V64" s="31" t="s">
        <v>56</v>
      </c>
      <c r="AA64" s="31">
        <v>49650</v>
      </c>
    </row>
    <row r="65" spans="1:27" ht="13.5" x14ac:dyDescent="0.25">
      <c r="A65" s="30">
        <v>46034</v>
      </c>
      <c r="B65" s="71" t="s">
        <v>372</v>
      </c>
      <c r="C65" s="31" t="s">
        <v>97</v>
      </c>
      <c r="D65" s="72">
        <v>17024</v>
      </c>
      <c r="E65" s="31">
        <v>1</v>
      </c>
      <c r="F65" s="73" t="s">
        <v>373</v>
      </c>
      <c r="G65" s="31" t="s">
        <v>60</v>
      </c>
      <c r="H65" s="31" t="s">
        <v>158</v>
      </c>
      <c r="I65" s="73" t="s">
        <v>374</v>
      </c>
      <c r="J65" s="85">
        <v>10144432</v>
      </c>
      <c r="L65" s="85">
        <v>23966043</v>
      </c>
      <c r="N65" s="74" t="s">
        <v>375</v>
      </c>
      <c r="O65" s="75" t="str">
        <f>VLOOKUP(N65,[1]UPS_SETIIPRESS!$A$2:$B$527,2,0)</f>
        <v>CENTRO QUIRÚRGICO Y ANESTESIOLOGÍA</v>
      </c>
      <c r="P65" s="31">
        <v>71</v>
      </c>
      <c r="Q65" s="31" t="s">
        <v>50</v>
      </c>
      <c r="R65" s="31" t="s">
        <v>53</v>
      </c>
      <c r="S65" s="31" t="s">
        <v>54</v>
      </c>
      <c r="T65" s="31" t="s">
        <v>54</v>
      </c>
      <c r="U65" s="31" t="s">
        <v>109</v>
      </c>
      <c r="V65" s="31" t="s">
        <v>56</v>
      </c>
      <c r="AA65" s="31">
        <v>47562</v>
      </c>
    </row>
    <row r="66" spans="1:27" ht="13.5" x14ac:dyDescent="0.25">
      <c r="A66" s="30">
        <v>46034</v>
      </c>
      <c r="B66" s="71" t="s">
        <v>372</v>
      </c>
      <c r="C66" s="31" t="s">
        <v>100</v>
      </c>
      <c r="D66" s="72">
        <v>17024</v>
      </c>
      <c r="E66" s="31">
        <v>1</v>
      </c>
      <c r="F66" s="73" t="s">
        <v>373</v>
      </c>
      <c r="G66" s="31" t="s">
        <v>60</v>
      </c>
      <c r="H66" s="31" t="s">
        <v>159</v>
      </c>
      <c r="I66" s="73" t="s">
        <v>374</v>
      </c>
      <c r="J66" s="85">
        <v>22254408</v>
      </c>
      <c r="L66" s="85">
        <v>71443812</v>
      </c>
      <c r="N66" s="74" t="s">
        <v>375</v>
      </c>
      <c r="O66" s="75" t="str">
        <f>VLOOKUP(N66,[1]UPS_SETIIPRESS!$A$2:$B$527,2,0)</f>
        <v>CENTRO QUIRÚRGICO Y ANESTESIOLOGÍA</v>
      </c>
      <c r="P66" s="31">
        <v>27</v>
      </c>
      <c r="Q66" s="31" t="s">
        <v>50</v>
      </c>
      <c r="R66" s="31" t="s">
        <v>63</v>
      </c>
      <c r="S66" s="31" t="s">
        <v>54</v>
      </c>
      <c r="T66" s="31" t="s">
        <v>54</v>
      </c>
      <c r="U66" s="31" t="s">
        <v>109</v>
      </c>
      <c r="V66" s="31" t="s">
        <v>56</v>
      </c>
      <c r="AA66" s="31">
        <v>475962</v>
      </c>
    </row>
    <row r="67" spans="1:27" ht="13.5" x14ac:dyDescent="0.25">
      <c r="A67" s="30">
        <v>46034</v>
      </c>
      <c r="B67" s="71" t="s">
        <v>372</v>
      </c>
      <c r="C67" s="31" t="s">
        <v>59</v>
      </c>
      <c r="D67" s="72">
        <v>17024</v>
      </c>
      <c r="E67" s="31">
        <v>1</v>
      </c>
      <c r="F67" s="73" t="s">
        <v>373</v>
      </c>
      <c r="G67" s="31" t="s">
        <v>60</v>
      </c>
      <c r="H67" s="31" t="s">
        <v>158</v>
      </c>
      <c r="I67" s="73" t="s">
        <v>374</v>
      </c>
      <c r="J67" s="85">
        <v>10144432</v>
      </c>
      <c r="L67" s="85">
        <v>7918333</v>
      </c>
      <c r="N67" s="74" t="s">
        <v>375</v>
      </c>
      <c r="O67" s="75" t="str">
        <f>VLOOKUP(N67,[1]UPS_SETIIPRESS!$A$2:$B$527,2,0)</f>
        <v>CENTRO QUIRÚRGICO Y ANESTESIOLOGÍA</v>
      </c>
      <c r="P67" s="31">
        <v>68</v>
      </c>
      <c r="Q67" s="31" t="s">
        <v>50</v>
      </c>
      <c r="R67" s="31" t="s">
        <v>53</v>
      </c>
      <c r="S67" s="31" t="s">
        <v>54</v>
      </c>
      <c r="T67" s="31" t="s">
        <v>54</v>
      </c>
      <c r="U67" s="31" t="s">
        <v>160</v>
      </c>
      <c r="V67" s="31" t="s">
        <v>56</v>
      </c>
      <c r="AA67" s="31">
        <v>49580</v>
      </c>
    </row>
    <row r="68" spans="1:27" ht="13.5" x14ac:dyDescent="0.25">
      <c r="A68" s="30">
        <v>46034</v>
      </c>
      <c r="B68" s="71" t="s">
        <v>372</v>
      </c>
      <c r="C68" s="31" t="s">
        <v>59</v>
      </c>
      <c r="D68" s="72">
        <v>17024</v>
      </c>
      <c r="E68" s="31">
        <v>1</v>
      </c>
      <c r="F68" s="73" t="s">
        <v>373</v>
      </c>
      <c r="G68" s="31" t="s">
        <v>60</v>
      </c>
      <c r="H68" s="31" t="s">
        <v>161</v>
      </c>
      <c r="I68" s="73" t="s">
        <v>374</v>
      </c>
      <c r="J68" s="85">
        <v>8125241</v>
      </c>
      <c r="L68" s="85">
        <v>45172977</v>
      </c>
      <c r="N68" s="74" t="s">
        <v>375</v>
      </c>
      <c r="O68" s="75" t="str">
        <f>VLOOKUP(N68,[1]UPS_SETIIPRESS!$A$2:$B$527,2,0)</f>
        <v>CENTRO QUIRÚRGICO Y ANESTESIOLOGÍA</v>
      </c>
      <c r="P68" s="31">
        <v>37</v>
      </c>
      <c r="Q68" s="31" t="s">
        <v>50</v>
      </c>
      <c r="R68" s="31" t="s">
        <v>70</v>
      </c>
      <c r="S68" s="31" t="s">
        <v>76</v>
      </c>
      <c r="T68" s="31" t="s">
        <v>54</v>
      </c>
      <c r="U68" s="31" t="s">
        <v>80</v>
      </c>
      <c r="V68" s="31" t="s">
        <v>56</v>
      </c>
      <c r="AA68" s="31">
        <v>30520</v>
      </c>
    </row>
    <row r="69" spans="1:27" ht="13.5" x14ac:dyDescent="0.25">
      <c r="A69" s="30">
        <v>46034</v>
      </c>
      <c r="B69" s="71" t="s">
        <v>372</v>
      </c>
      <c r="C69" s="31" t="s">
        <v>67</v>
      </c>
      <c r="D69" s="72">
        <v>17024</v>
      </c>
      <c r="E69" s="31">
        <v>1</v>
      </c>
      <c r="F69" s="73" t="s">
        <v>373</v>
      </c>
      <c r="G69" s="31" t="s">
        <v>50</v>
      </c>
      <c r="H69" s="31" t="s">
        <v>78</v>
      </c>
      <c r="I69" s="73" t="s">
        <v>374</v>
      </c>
      <c r="J69" s="85">
        <v>43403659</v>
      </c>
      <c r="L69" s="85">
        <v>74716305</v>
      </c>
      <c r="N69" s="74" t="s">
        <v>375</v>
      </c>
      <c r="O69" s="75" t="str">
        <f>VLOOKUP(N69,[1]UPS_SETIIPRESS!$A$2:$B$527,2,0)</f>
        <v>CENTRO QUIRÚRGICO Y ANESTESIOLOGÍA</v>
      </c>
      <c r="P69" s="31">
        <v>20</v>
      </c>
      <c r="Q69" s="31" t="s">
        <v>50</v>
      </c>
      <c r="R69" s="31" t="s">
        <v>58</v>
      </c>
      <c r="S69" s="31" t="s">
        <v>76</v>
      </c>
      <c r="T69" s="31" t="s">
        <v>54</v>
      </c>
      <c r="U69" s="31" t="s">
        <v>80</v>
      </c>
      <c r="V69" s="31" t="s">
        <v>56</v>
      </c>
      <c r="AA69" s="31">
        <v>30520</v>
      </c>
    </row>
    <row r="70" spans="1:27" ht="13.5" x14ac:dyDescent="0.25">
      <c r="A70" s="30">
        <v>46034</v>
      </c>
      <c r="B70" s="71" t="s">
        <v>372</v>
      </c>
      <c r="C70" s="31" t="s">
        <v>59</v>
      </c>
      <c r="D70" s="72">
        <v>17024</v>
      </c>
      <c r="E70" s="31">
        <v>1</v>
      </c>
      <c r="F70" s="73" t="s">
        <v>373</v>
      </c>
      <c r="G70" s="31" t="s">
        <v>60</v>
      </c>
      <c r="H70" s="31" t="s">
        <v>162</v>
      </c>
      <c r="I70" s="73" t="s">
        <v>374</v>
      </c>
      <c r="J70" s="85">
        <v>9398424</v>
      </c>
      <c r="L70" s="85">
        <v>32432451</v>
      </c>
      <c r="N70" s="74" t="s">
        <v>375</v>
      </c>
      <c r="O70" s="75" t="str">
        <f>VLOOKUP(N70,[1]UPS_SETIIPRESS!$A$2:$B$527,2,0)</f>
        <v>CENTRO QUIRÚRGICO Y ANESTESIOLOGÍA</v>
      </c>
      <c r="P70" s="31">
        <v>70</v>
      </c>
      <c r="Q70" s="31" t="s">
        <v>50</v>
      </c>
      <c r="R70" s="31" t="s">
        <v>53</v>
      </c>
      <c r="S70" s="31" t="s">
        <v>54</v>
      </c>
      <c r="T70" s="31" t="s">
        <v>54</v>
      </c>
      <c r="U70" s="31" t="s">
        <v>102</v>
      </c>
      <c r="V70" s="31" t="s">
        <v>56</v>
      </c>
      <c r="AA70" s="31">
        <v>27447</v>
      </c>
    </row>
    <row r="71" spans="1:27" ht="13.5" x14ac:dyDescent="0.25">
      <c r="A71" s="30">
        <v>46034</v>
      </c>
      <c r="B71" s="71" t="s">
        <v>372</v>
      </c>
      <c r="C71" s="31" t="s">
        <v>67</v>
      </c>
      <c r="D71" s="72">
        <v>17024</v>
      </c>
      <c r="E71" s="31">
        <v>1</v>
      </c>
      <c r="F71" s="73" t="s">
        <v>373</v>
      </c>
      <c r="G71" s="31" t="s">
        <v>60</v>
      </c>
      <c r="H71" s="31" t="s">
        <v>162</v>
      </c>
      <c r="I71" s="73" t="s">
        <v>374</v>
      </c>
      <c r="J71" s="85">
        <v>9398424</v>
      </c>
      <c r="L71" s="85">
        <v>43293168</v>
      </c>
      <c r="N71" s="74" t="s">
        <v>375</v>
      </c>
      <c r="O71" s="75" t="str">
        <f>VLOOKUP(N71,[1]UPS_SETIIPRESS!$A$2:$B$527,2,0)</f>
        <v>CENTRO QUIRÚRGICO Y ANESTESIOLOGÍA</v>
      </c>
      <c r="P71" s="31">
        <v>69</v>
      </c>
      <c r="Q71" s="31" t="s">
        <v>50</v>
      </c>
      <c r="R71" s="31" t="s">
        <v>53</v>
      </c>
      <c r="S71" s="31" t="s">
        <v>54</v>
      </c>
      <c r="T71" s="31" t="s">
        <v>54</v>
      </c>
      <c r="U71" s="31" t="s">
        <v>164</v>
      </c>
      <c r="V71" s="31" t="s">
        <v>56</v>
      </c>
      <c r="AA71" s="31">
        <v>64725</v>
      </c>
    </row>
    <row r="72" spans="1:27" ht="13.5" x14ac:dyDescent="0.25">
      <c r="A72" s="30">
        <v>46032</v>
      </c>
      <c r="B72" s="71" t="s">
        <v>372</v>
      </c>
      <c r="C72" s="31" t="s">
        <v>49</v>
      </c>
      <c r="D72" s="72">
        <v>17024</v>
      </c>
      <c r="E72" s="31">
        <v>1</v>
      </c>
      <c r="F72" s="73" t="s">
        <v>373</v>
      </c>
      <c r="G72" s="31" t="s">
        <v>60</v>
      </c>
      <c r="H72" s="31" t="s">
        <v>110</v>
      </c>
      <c r="I72" s="73" t="s">
        <v>374</v>
      </c>
      <c r="J72" s="85">
        <v>23928859</v>
      </c>
      <c r="L72" s="85">
        <v>8348474</v>
      </c>
      <c r="N72" s="74" t="s">
        <v>375</v>
      </c>
      <c r="O72" s="75" t="str">
        <f>VLOOKUP(N72,[1]UPS_SETIIPRESS!$A$2:$B$527,2,0)</f>
        <v>CENTRO QUIRÚRGICO Y ANESTESIOLOGÍA</v>
      </c>
      <c r="P72" s="31">
        <v>75</v>
      </c>
      <c r="Q72" s="31" t="s">
        <v>50</v>
      </c>
      <c r="R72" s="31" t="s">
        <v>103</v>
      </c>
      <c r="S72" s="31" t="s">
        <v>58</v>
      </c>
      <c r="T72" s="31" t="s">
        <v>54</v>
      </c>
      <c r="U72" s="31" t="s">
        <v>165</v>
      </c>
      <c r="V72" s="31" t="s">
        <v>56</v>
      </c>
      <c r="AA72" s="31">
        <v>479000</v>
      </c>
    </row>
    <row r="73" spans="1:27" ht="13.5" x14ac:dyDescent="0.25">
      <c r="A73" s="30">
        <v>46033</v>
      </c>
      <c r="B73" s="71" t="s">
        <v>372</v>
      </c>
      <c r="C73" s="31" t="s">
        <v>49</v>
      </c>
      <c r="D73" s="72">
        <v>17024</v>
      </c>
      <c r="E73" s="31">
        <v>1</v>
      </c>
      <c r="F73" s="73" t="s">
        <v>373</v>
      </c>
      <c r="G73" s="31" t="s">
        <v>50</v>
      </c>
      <c r="H73" s="31" t="s">
        <v>87</v>
      </c>
      <c r="I73" s="73" t="s">
        <v>374</v>
      </c>
      <c r="J73" s="85">
        <v>45125864</v>
      </c>
      <c r="L73" s="85">
        <v>71997886</v>
      </c>
      <c r="N73" s="74" t="s">
        <v>375</v>
      </c>
      <c r="O73" s="75" t="str">
        <f>VLOOKUP(N73,[1]UPS_SETIIPRESS!$A$2:$B$527,2,0)</f>
        <v>CENTRO QUIRÚRGICO Y ANESTESIOLOGÍA</v>
      </c>
      <c r="P73" s="31">
        <v>27</v>
      </c>
      <c r="Q73" s="31" t="s">
        <v>50</v>
      </c>
      <c r="R73" s="31" t="s">
        <v>70</v>
      </c>
      <c r="S73" s="31" t="s">
        <v>76</v>
      </c>
      <c r="T73" s="31" t="s">
        <v>54</v>
      </c>
      <c r="U73" s="31" t="s">
        <v>166</v>
      </c>
      <c r="V73" s="31" t="s">
        <v>56</v>
      </c>
      <c r="AA73" s="31">
        <v>61322</v>
      </c>
    </row>
    <row r="74" spans="1:27" ht="13.5" x14ac:dyDescent="0.25">
      <c r="A74" s="30">
        <v>46034</v>
      </c>
      <c r="B74" s="71" t="s">
        <v>372</v>
      </c>
      <c r="C74" s="31" t="s">
        <v>127</v>
      </c>
      <c r="D74" s="72">
        <v>17024</v>
      </c>
      <c r="E74" s="31">
        <v>1</v>
      </c>
      <c r="F74" s="73" t="s">
        <v>373</v>
      </c>
      <c r="G74" s="31" t="s">
        <v>60</v>
      </c>
      <c r="H74" s="31" t="s">
        <v>108</v>
      </c>
      <c r="I74" s="73" t="s">
        <v>374</v>
      </c>
      <c r="J74" s="85">
        <v>25542321</v>
      </c>
      <c r="L74" s="85">
        <v>45422089</v>
      </c>
      <c r="N74" s="74" t="s">
        <v>375</v>
      </c>
      <c r="O74" s="75" t="str">
        <f>VLOOKUP(N74,[1]UPS_SETIIPRESS!$A$2:$B$527,2,0)</f>
        <v>CENTRO QUIRÚRGICO Y ANESTESIOLOGÍA</v>
      </c>
      <c r="P74" s="31">
        <v>37</v>
      </c>
      <c r="Q74" s="31" t="s">
        <v>50</v>
      </c>
      <c r="R74" s="31" t="s">
        <v>70</v>
      </c>
      <c r="S74" s="31" t="s">
        <v>76</v>
      </c>
      <c r="T74" s="31" t="s">
        <v>54</v>
      </c>
      <c r="U74" s="31" t="s">
        <v>154</v>
      </c>
      <c r="V74" s="31" t="s">
        <v>56</v>
      </c>
      <c r="AA74" s="31">
        <v>47562</v>
      </c>
    </row>
    <row r="75" spans="1:27" ht="13.5" x14ac:dyDescent="0.25">
      <c r="A75" s="30">
        <v>46035</v>
      </c>
      <c r="B75" s="71" t="s">
        <v>372</v>
      </c>
      <c r="C75" s="31" t="s">
        <v>59</v>
      </c>
      <c r="D75" s="72">
        <v>17024</v>
      </c>
      <c r="E75" s="31">
        <v>1</v>
      </c>
      <c r="F75" s="73" t="s">
        <v>373</v>
      </c>
      <c r="G75" s="31" t="s">
        <v>60</v>
      </c>
      <c r="H75" s="31" t="s">
        <v>167</v>
      </c>
      <c r="I75" s="73" t="s">
        <v>374</v>
      </c>
      <c r="J75" s="85">
        <v>8106498</v>
      </c>
      <c r="L75" s="85">
        <v>43397327</v>
      </c>
      <c r="N75" s="74" t="s">
        <v>375</v>
      </c>
      <c r="O75" s="75" t="str">
        <f>VLOOKUP(N75,[1]UPS_SETIIPRESS!$A$2:$B$527,2,0)</f>
        <v>CENTRO QUIRÚRGICO Y ANESTESIOLOGÍA</v>
      </c>
      <c r="P75" s="31">
        <v>76</v>
      </c>
      <c r="Q75" s="31" t="s">
        <v>50</v>
      </c>
      <c r="R75" s="31" t="s">
        <v>53</v>
      </c>
      <c r="S75" s="31" t="s">
        <v>58</v>
      </c>
      <c r="T75" s="31" t="s">
        <v>54</v>
      </c>
      <c r="U75" s="31" t="s">
        <v>126</v>
      </c>
      <c r="V75" s="31" t="s">
        <v>56</v>
      </c>
      <c r="AA75" s="31">
        <v>66982</v>
      </c>
    </row>
    <row r="76" spans="1:27" ht="13.5" x14ac:dyDescent="0.25">
      <c r="A76" s="30">
        <v>46035</v>
      </c>
      <c r="B76" s="71" t="s">
        <v>372</v>
      </c>
      <c r="C76" s="31" t="s">
        <v>59</v>
      </c>
      <c r="D76" s="72">
        <v>17024</v>
      </c>
      <c r="E76" s="31">
        <v>1</v>
      </c>
      <c r="F76" s="73" t="s">
        <v>373</v>
      </c>
      <c r="G76" s="31" t="s">
        <v>60</v>
      </c>
      <c r="H76" s="31" t="s">
        <v>168</v>
      </c>
      <c r="I76" s="73" t="s">
        <v>374</v>
      </c>
      <c r="J76" s="85">
        <v>17817816</v>
      </c>
      <c r="L76" s="85">
        <v>43389732</v>
      </c>
      <c r="N76" s="74" t="s">
        <v>375</v>
      </c>
      <c r="O76" s="75" t="str">
        <f>VLOOKUP(N76,[1]UPS_SETIIPRESS!$A$2:$B$527,2,0)</f>
        <v>CENTRO QUIRÚRGICO Y ANESTESIOLOGÍA</v>
      </c>
      <c r="P76" s="31">
        <v>65</v>
      </c>
      <c r="Q76" s="31" t="s">
        <v>50</v>
      </c>
      <c r="R76" s="31" t="s">
        <v>53</v>
      </c>
      <c r="S76" s="31" t="s">
        <v>58</v>
      </c>
      <c r="T76" s="31" t="s">
        <v>54</v>
      </c>
      <c r="U76" s="31" t="s">
        <v>169</v>
      </c>
      <c r="V76" s="31" t="s">
        <v>56</v>
      </c>
      <c r="AA76" s="31">
        <v>55840</v>
      </c>
    </row>
    <row r="77" spans="1:27" ht="13.5" x14ac:dyDescent="0.25">
      <c r="A77" s="30">
        <v>46035</v>
      </c>
      <c r="B77" s="71" t="s">
        <v>372</v>
      </c>
      <c r="C77" s="31" t="s">
        <v>59</v>
      </c>
      <c r="D77" s="72">
        <v>17024</v>
      </c>
      <c r="E77" s="31">
        <v>1</v>
      </c>
      <c r="F77" s="73" t="s">
        <v>373</v>
      </c>
      <c r="G77" s="31" t="s">
        <v>60</v>
      </c>
      <c r="H77" s="31" t="s">
        <v>170</v>
      </c>
      <c r="I77" s="73" t="s">
        <v>374</v>
      </c>
      <c r="J77" s="85">
        <v>10796086</v>
      </c>
      <c r="L77" s="85">
        <v>5382934</v>
      </c>
      <c r="N77" s="74" t="s">
        <v>375</v>
      </c>
      <c r="O77" s="75" t="str">
        <f>VLOOKUP(N77,[1]UPS_SETIIPRESS!$A$2:$B$527,2,0)</f>
        <v>CENTRO QUIRÚRGICO Y ANESTESIOLOGÍA</v>
      </c>
      <c r="P77" s="31">
        <v>50</v>
      </c>
      <c r="Q77" s="31" t="s">
        <v>63</v>
      </c>
      <c r="R77" s="31" t="s">
        <v>63</v>
      </c>
      <c r="S77" s="31" t="s">
        <v>76</v>
      </c>
      <c r="T77" s="31" t="s">
        <v>54</v>
      </c>
      <c r="U77" s="31" t="s">
        <v>172</v>
      </c>
      <c r="V77" s="31" t="s">
        <v>56</v>
      </c>
      <c r="AA77" s="31">
        <v>58571</v>
      </c>
    </row>
    <row r="78" spans="1:27" ht="13.5" x14ac:dyDescent="0.25">
      <c r="A78" s="30">
        <v>46035</v>
      </c>
      <c r="B78" s="71" t="s">
        <v>372</v>
      </c>
      <c r="C78" s="31" t="s">
        <v>67</v>
      </c>
      <c r="D78" s="72">
        <v>17024</v>
      </c>
      <c r="E78" s="31">
        <v>1</v>
      </c>
      <c r="F78" s="73" t="s">
        <v>373</v>
      </c>
      <c r="G78" s="31" t="s">
        <v>60</v>
      </c>
      <c r="H78" s="31" t="s">
        <v>170</v>
      </c>
      <c r="I78" s="73" t="s">
        <v>374</v>
      </c>
      <c r="J78" s="85">
        <v>10796086</v>
      </c>
      <c r="L78" s="85">
        <v>41590155</v>
      </c>
      <c r="N78" s="74" t="s">
        <v>375</v>
      </c>
      <c r="O78" s="75" t="str">
        <f>VLOOKUP(N78,[1]UPS_SETIIPRESS!$A$2:$B$527,2,0)</f>
        <v>CENTRO QUIRÚRGICO Y ANESTESIOLOGÍA</v>
      </c>
      <c r="P78" s="31">
        <v>44</v>
      </c>
      <c r="Q78" s="31" t="s">
        <v>63</v>
      </c>
      <c r="R78" s="31" t="s">
        <v>63</v>
      </c>
      <c r="S78" s="31" t="s">
        <v>54</v>
      </c>
      <c r="T78" s="31" t="s">
        <v>54</v>
      </c>
      <c r="U78" s="31" t="s">
        <v>173</v>
      </c>
      <c r="V78" s="31" t="s">
        <v>56</v>
      </c>
      <c r="AA78" s="31">
        <v>58570</v>
      </c>
    </row>
    <row r="79" spans="1:27" ht="13.5" x14ac:dyDescent="0.25">
      <c r="A79" s="30">
        <v>46035</v>
      </c>
      <c r="B79" s="71" t="s">
        <v>372</v>
      </c>
      <c r="C79" s="31" t="s">
        <v>69</v>
      </c>
      <c r="D79" s="72">
        <v>17024</v>
      </c>
      <c r="E79" s="31">
        <v>1</v>
      </c>
      <c r="F79" s="73" t="s">
        <v>373</v>
      </c>
      <c r="G79" s="31" t="s">
        <v>60</v>
      </c>
      <c r="H79" s="31" t="s">
        <v>170</v>
      </c>
      <c r="I79" s="73" t="s">
        <v>374</v>
      </c>
      <c r="J79" s="85">
        <v>10796086</v>
      </c>
      <c r="L79" s="85">
        <v>6081488</v>
      </c>
      <c r="N79" s="74" t="s">
        <v>375</v>
      </c>
      <c r="O79" s="75" t="str">
        <f>VLOOKUP(N79,[1]UPS_SETIIPRESS!$A$2:$B$527,2,0)</f>
        <v>CENTRO QUIRÚRGICO Y ANESTESIOLOGÍA</v>
      </c>
      <c r="P79" s="31">
        <v>73</v>
      </c>
      <c r="Q79" s="31" t="s">
        <v>63</v>
      </c>
      <c r="R79" s="31" t="s">
        <v>63</v>
      </c>
      <c r="S79" s="31" t="s">
        <v>54</v>
      </c>
      <c r="T79" s="31" t="s">
        <v>54</v>
      </c>
      <c r="U79" s="31" t="s">
        <v>173</v>
      </c>
      <c r="V79" s="31" t="s">
        <v>56</v>
      </c>
      <c r="AA79" s="31">
        <v>57260</v>
      </c>
    </row>
    <row r="80" spans="1:27" ht="13.5" x14ac:dyDescent="0.25">
      <c r="A80" s="30">
        <v>46035</v>
      </c>
      <c r="B80" s="71" t="s">
        <v>372</v>
      </c>
      <c r="C80" s="31" t="s">
        <v>59</v>
      </c>
      <c r="D80" s="72">
        <v>17024</v>
      </c>
      <c r="E80" s="31">
        <v>1</v>
      </c>
      <c r="F80" s="73" t="s">
        <v>373</v>
      </c>
      <c r="G80" s="31" t="s">
        <v>60</v>
      </c>
      <c r="H80" s="31" t="s">
        <v>142</v>
      </c>
      <c r="I80" s="73" t="s">
        <v>374</v>
      </c>
      <c r="J80" s="85">
        <v>45782157</v>
      </c>
      <c r="L80" s="85" t="s">
        <v>143</v>
      </c>
      <c r="N80" s="74" t="s">
        <v>375</v>
      </c>
      <c r="O80" s="75" t="str">
        <f>VLOOKUP(N80,[1]UPS_SETIIPRESS!$A$2:$B$527,2,0)</f>
        <v>CENTRO QUIRÚRGICO Y ANESTESIOLOGÍA</v>
      </c>
      <c r="P80" s="31">
        <v>22</v>
      </c>
      <c r="Q80" s="31" t="s">
        <v>63</v>
      </c>
      <c r="R80" s="31" t="s">
        <v>103</v>
      </c>
      <c r="S80" s="31" t="s">
        <v>54</v>
      </c>
      <c r="T80" s="31" t="s">
        <v>54</v>
      </c>
      <c r="U80" s="31" t="s">
        <v>109</v>
      </c>
      <c r="V80" s="31" t="s">
        <v>56</v>
      </c>
      <c r="AA80" s="31">
        <v>47.561999999999998</v>
      </c>
    </row>
    <row r="81" spans="1:27" ht="13.5" x14ac:dyDescent="0.25">
      <c r="A81" s="30">
        <v>46035</v>
      </c>
      <c r="B81" s="71" t="s">
        <v>372</v>
      </c>
      <c r="C81" s="31" t="s">
        <v>59</v>
      </c>
      <c r="D81" s="72">
        <v>17024</v>
      </c>
      <c r="E81" s="31">
        <v>1</v>
      </c>
      <c r="F81" s="73" t="s">
        <v>373</v>
      </c>
      <c r="G81" s="31" t="s">
        <v>60</v>
      </c>
      <c r="H81" s="31" t="s">
        <v>159</v>
      </c>
      <c r="I81" s="73" t="s">
        <v>374</v>
      </c>
      <c r="J81" s="85">
        <v>22254408</v>
      </c>
      <c r="L81" s="85">
        <v>302984800</v>
      </c>
      <c r="N81" s="74" t="s">
        <v>375</v>
      </c>
      <c r="O81" s="75" t="str">
        <f>VLOOKUP(N81,[1]UPS_SETIIPRESS!$A$2:$B$527,2,0)</f>
        <v>CENTRO QUIRÚRGICO Y ANESTESIOLOGÍA</v>
      </c>
      <c r="P81" s="31">
        <v>92</v>
      </c>
      <c r="Q81" s="31" t="s">
        <v>50</v>
      </c>
      <c r="R81" s="31" t="s">
        <v>103</v>
      </c>
      <c r="S81" s="31" t="s">
        <v>54</v>
      </c>
      <c r="T81" s="31" t="s">
        <v>54</v>
      </c>
      <c r="U81" s="31" t="s">
        <v>174</v>
      </c>
      <c r="V81" s="31" t="s">
        <v>56</v>
      </c>
      <c r="AA81" s="31">
        <v>49900</v>
      </c>
    </row>
    <row r="82" spans="1:27" ht="13.5" x14ac:dyDescent="0.25">
      <c r="A82" s="30">
        <v>46035</v>
      </c>
      <c r="B82" s="71" t="s">
        <v>372</v>
      </c>
      <c r="C82" s="31" t="s">
        <v>67</v>
      </c>
      <c r="D82" s="72">
        <v>17024</v>
      </c>
      <c r="E82" s="31">
        <v>1</v>
      </c>
      <c r="F82" s="73" t="s">
        <v>373</v>
      </c>
      <c r="G82" s="31" t="s">
        <v>60</v>
      </c>
      <c r="H82" s="31" t="s">
        <v>142</v>
      </c>
      <c r="I82" s="73" t="s">
        <v>374</v>
      </c>
      <c r="J82" s="85">
        <v>45782157</v>
      </c>
      <c r="L82" s="85">
        <v>45422089</v>
      </c>
      <c r="N82" s="74" t="s">
        <v>375</v>
      </c>
      <c r="O82" s="75" t="str">
        <f>VLOOKUP(N82,[1]UPS_SETIIPRESS!$A$2:$B$527,2,0)</f>
        <v>CENTRO QUIRÚRGICO Y ANESTESIOLOGÍA</v>
      </c>
      <c r="P82" s="31">
        <v>64</v>
      </c>
      <c r="Q82" s="31" t="s">
        <v>50</v>
      </c>
      <c r="R82" s="31" t="s">
        <v>103</v>
      </c>
      <c r="S82" s="31" t="s">
        <v>54</v>
      </c>
      <c r="T82" s="31" t="s">
        <v>54</v>
      </c>
      <c r="U82" s="31" t="s">
        <v>175</v>
      </c>
      <c r="V82" s="31" t="s">
        <v>56</v>
      </c>
      <c r="AA82" s="31">
        <v>10.119999999999999</v>
      </c>
    </row>
    <row r="83" spans="1:27" ht="13.5" x14ac:dyDescent="0.25">
      <c r="A83" s="30">
        <v>46036</v>
      </c>
      <c r="B83" s="71" t="s">
        <v>372</v>
      </c>
      <c r="C83" s="31" t="s">
        <v>59</v>
      </c>
      <c r="D83" s="72">
        <v>17024</v>
      </c>
      <c r="E83" s="31">
        <v>1</v>
      </c>
      <c r="F83" s="73" t="s">
        <v>373</v>
      </c>
      <c r="G83" s="31" t="s">
        <v>60</v>
      </c>
      <c r="H83" s="31" t="s">
        <v>61</v>
      </c>
      <c r="I83" s="73" t="s">
        <v>374</v>
      </c>
      <c r="J83" s="85">
        <v>21523144</v>
      </c>
      <c r="L83" s="85">
        <v>61807519</v>
      </c>
      <c r="N83" s="74" t="s">
        <v>375</v>
      </c>
      <c r="O83" s="75" t="str">
        <f>VLOOKUP(N83,[1]UPS_SETIIPRESS!$A$2:$B$527,2,0)</f>
        <v>CENTRO QUIRÚRGICO Y ANESTESIOLOGÍA</v>
      </c>
      <c r="P83" s="31">
        <v>18</v>
      </c>
      <c r="Q83" s="31" t="s">
        <v>50</v>
      </c>
      <c r="R83" s="31" t="s">
        <v>63</v>
      </c>
      <c r="S83" s="31" t="s">
        <v>54</v>
      </c>
      <c r="T83" s="31" t="s">
        <v>54</v>
      </c>
      <c r="U83" s="31" t="s">
        <v>64</v>
      </c>
      <c r="V83" s="31" t="s">
        <v>56</v>
      </c>
      <c r="AA83" s="31">
        <v>90874</v>
      </c>
    </row>
    <row r="84" spans="1:27" ht="13.5" x14ac:dyDescent="0.25">
      <c r="A84" s="30">
        <v>46036</v>
      </c>
      <c r="B84" s="71" t="s">
        <v>372</v>
      </c>
      <c r="C84" s="31" t="s">
        <v>67</v>
      </c>
      <c r="D84" s="72">
        <v>17024</v>
      </c>
      <c r="E84" s="31">
        <v>1</v>
      </c>
      <c r="F84" s="73" t="s">
        <v>373</v>
      </c>
      <c r="G84" s="31" t="s">
        <v>50</v>
      </c>
      <c r="H84" s="31" t="s">
        <v>176</v>
      </c>
      <c r="I84" s="73" t="s">
        <v>374</v>
      </c>
      <c r="J84" s="85">
        <v>21523144</v>
      </c>
      <c r="L84" s="85">
        <v>76540189</v>
      </c>
      <c r="N84" s="74" t="s">
        <v>375</v>
      </c>
      <c r="O84" s="75" t="str">
        <f>VLOOKUP(N84,[1]UPS_SETIIPRESS!$A$2:$B$527,2,0)</f>
        <v>CENTRO QUIRÚRGICO Y ANESTESIOLOGÍA</v>
      </c>
      <c r="P84" s="31">
        <v>24</v>
      </c>
      <c r="Q84" s="31" t="s">
        <v>50</v>
      </c>
      <c r="R84" s="31" t="s">
        <v>63</v>
      </c>
      <c r="S84" s="31" t="s">
        <v>54</v>
      </c>
      <c r="T84" s="31" t="s">
        <v>54</v>
      </c>
      <c r="U84" s="31" t="s">
        <v>64</v>
      </c>
      <c r="V84" s="31" t="s">
        <v>56</v>
      </c>
      <c r="AA84" s="31">
        <v>90874</v>
      </c>
    </row>
    <row r="85" spans="1:27" ht="13.5" x14ac:dyDescent="0.25">
      <c r="A85" s="30">
        <v>46036</v>
      </c>
      <c r="B85" s="71" t="s">
        <v>372</v>
      </c>
      <c r="C85" s="31" t="s">
        <v>69</v>
      </c>
      <c r="D85" s="72">
        <v>17024</v>
      </c>
      <c r="E85" s="31">
        <v>1</v>
      </c>
      <c r="F85" s="73" t="s">
        <v>373</v>
      </c>
      <c r="G85" s="31" t="s">
        <v>60</v>
      </c>
      <c r="H85" s="31" t="s">
        <v>61</v>
      </c>
      <c r="I85" s="73" t="s">
        <v>374</v>
      </c>
      <c r="J85" s="85">
        <v>21523144</v>
      </c>
      <c r="L85" s="85">
        <v>9145142</v>
      </c>
      <c r="N85" s="74" t="s">
        <v>375</v>
      </c>
      <c r="O85" s="75" t="str">
        <f>VLOOKUP(N85,[1]UPS_SETIIPRESS!$A$2:$B$527,2,0)</f>
        <v>CENTRO QUIRÚRGICO Y ANESTESIOLOGÍA</v>
      </c>
      <c r="P85" s="31">
        <v>59</v>
      </c>
      <c r="Q85" s="31" t="s">
        <v>63</v>
      </c>
      <c r="R85" s="31" t="s">
        <v>63</v>
      </c>
      <c r="S85" s="31" t="s">
        <v>54</v>
      </c>
      <c r="T85" s="31" t="s">
        <v>54</v>
      </c>
      <c r="U85" s="31" t="s">
        <v>64</v>
      </c>
      <c r="V85" s="31" t="s">
        <v>56</v>
      </c>
      <c r="AA85" s="31">
        <v>90874</v>
      </c>
    </row>
    <row r="86" spans="1:27" ht="13.5" x14ac:dyDescent="0.25">
      <c r="A86" s="30">
        <v>46036</v>
      </c>
      <c r="B86" s="71" t="s">
        <v>372</v>
      </c>
      <c r="C86" s="31" t="s">
        <v>59</v>
      </c>
      <c r="D86" s="72">
        <v>17024</v>
      </c>
      <c r="E86" s="31">
        <v>1</v>
      </c>
      <c r="F86" s="73" t="s">
        <v>373</v>
      </c>
      <c r="G86" s="31" t="s">
        <v>60</v>
      </c>
      <c r="H86" s="31" t="s">
        <v>167</v>
      </c>
      <c r="I86" s="73" t="s">
        <v>374</v>
      </c>
      <c r="J86" s="85">
        <v>8106498</v>
      </c>
      <c r="L86" s="85">
        <v>29674084</v>
      </c>
      <c r="N86" s="74" t="s">
        <v>375</v>
      </c>
      <c r="O86" s="75" t="str">
        <f>VLOOKUP(N86,[1]UPS_SETIIPRESS!$A$2:$B$527,2,0)</f>
        <v>CENTRO QUIRÚRGICO Y ANESTESIOLOGÍA</v>
      </c>
      <c r="P86" s="31">
        <v>50</v>
      </c>
      <c r="Q86" s="31" t="s">
        <v>50</v>
      </c>
      <c r="R86" s="31" t="s">
        <v>53</v>
      </c>
      <c r="S86" s="31" t="s">
        <v>54</v>
      </c>
      <c r="T86" s="31" t="s">
        <v>54</v>
      </c>
      <c r="U86" s="31" t="s">
        <v>126</v>
      </c>
      <c r="V86" s="31" t="s">
        <v>56</v>
      </c>
      <c r="AA86" s="31">
        <v>66982</v>
      </c>
    </row>
    <row r="87" spans="1:27" ht="13.5" x14ac:dyDescent="0.25">
      <c r="A87" s="30">
        <v>46036</v>
      </c>
      <c r="B87" s="71" t="s">
        <v>372</v>
      </c>
      <c r="C87" s="31" t="s">
        <v>67</v>
      </c>
      <c r="D87" s="72">
        <v>17024</v>
      </c>
      <c r="E87" s="31">
        <v>1</v>
      </c>
      <c r="F87" s="73" t="s">
        <v>373</v>
      </c>
      <c r="G87" s="31" t="s">
        <v>60</v>
      </c>
      <c r="H87" s="31" t="s">
        <v>167</v>
      </c>
      <c r="I87" s="73" t="s">
        <v>374</v>
      </c>
      <c r="J87" s="85">
        <v>8106498</v>
      </c>
      <c r="L87" s="85">
        <v>10809607</v>
      </c>
      <c r="N87" s="74" t="s">
        <v>375</v>
      </c>
      <c r="O87" s="75" t="str">
        <f>VLOOKUP(N87,[1]UPS_SETIIPRESS!$A$2:$B$527,2,0)</f>
        <v>CENTRO QUIRÚRGICO Y ANESTESIOLOGÍA</v>
      </c>
      <c r="P87" s="31">
        <v>72</v>
      </c>
      <c r="Q87" s="31" t="s">
        <v>50</v>
      </c>
      <c r="R87" s="31" t="s">
        <v>53</v>
      </c>
      <c r="S87" s="31" t="s">
        <v>54</v>
      </c>
      <c r="T87" s="31" t="s">
        <v>54</v>
      </c>
      <c r="U87" s="31" t="s">
        <v>126</v>
      </c>
      <c r="V87" s="31" t="s">
        <v>56</v>
      </c>
      <c r="AA87" s="31">
        <v>66982</v>
      </c>
    </row>
    <row r="88" spans="1:27" ht="13.5" x14ac:dyDescent="0.25">
      <c r="A88" s="30">
        <v>46036</v>
      </c>
      <c r="B88" s="71" t="s">
        <v>372</v>
      </c>
      <c r="C88" s="31" t="s">
        <v>59</v>
      </c>
      <c r="D88" s="72">
        <v>17024</v>
      </c>
      <c r="E88" s="31">
        <v>1</v>
      </c>
      <c r="F88" s="73" t="s">
        <v>373</v>
      </c>
      <c r="G88" s="31" t="s">
        <v>60</v>
      </c>
      <c r="H88" s="31" t="s">
        <v>158</v>
      </c>
      <c r="I88" s="73" t="s">
        <v>374</v>
      </c>
      <c r="J88" s="85">
        <v>10144432</v>
      </c>
      <c r="L88" s="85">
        <v>31120130</v>
      </c>
      <c r="N88" s="74" t="s">
        <v>375</v>
      </c>
      <c r="O88" s="75" t="str">
        <f>VLOOKUP(N88,[1]UPS_SETIIPRESS!$A$2:$B$527,2,0)</f>
        <v>CENTRO QUIRÚRGICO Y ANESTESIOLOGÍA</v>
      </c>
      <c r="P88" s="31">
        <v>97</v>
      </c>
      <c r="Q88" s="31" t="s">
        <v>63</v>
      </c>
      <c r="R88" s="31" t="s">
        <v>63</v>
      </c>
      <c r="S88" s="31" t="s">
        <v>54</v>
      </c>
      <c r="T88" s="31" t="s">
        <v>54</v>
      </c>
      <c r="U88" s="31" t="s">
        <v>179</v>
      </c>
      <c r="V88" s="31" t="s">
        <v>56</v>
      </c>
      <c r="AA88" s="31">
        <v>27337</v>
      </c>
    </row>
    <row r="89" spans="1:27" ht="13.5" x14ac:dyDescent="0.25">
      <c r="A89" s="30">
        <v>46036</v>
      </c>
      <c r="B89" s="71" t="s">
        <v>372</v>
      </c>
      <c r="C89" s="31" t="s">
        <v>67</v>
      </c>
      <c r="D89" s="72">
        <v>17024</v>
      </c>
      <c r="E89" s="31">
        <v>1</v>
      </c>
      <c r="F89" s="73" t="s">
        <v>373</v>
      </c>
      <c r="G89" s="31" t="s">
        <v>60</v>
      </c>
      <c r="H89" s="31" t="s">
        <v>159</v>
      </c>
      <c r="I89" s="73" t="s">
        <v>374</v>
      </c>
      <c r="J89" s="85">
        <v>22254408</v>
      </c>
      <c r="L89" s="85">
        <v>31783420</v>
      </c>
      <c r="N89" s="74" t="s">
        <v>375</v>
      </c>
      <c r="O89" s="75" t="str">
        <f>VLOOKUP(N89,[1]UPS_SETIIPRESS!$A$2:$B$527,2,0)</f>
        <v>CENTRO QUIRÚRGICO Y ANESTESIOLOGÍA</v>
      </c>
      <c r="P89" s="31">
        <v>92</v>
      </c>
      <c r="Q89" s="31" t="s">
        <v>50</v>
      </c>
      <c r="R89" s="31" t="s">
        <v>53</v>
      </c>
      <c r="S89" s="31" t="s">
        <v>58</v>
      </c>
      <c r="T89" s="31" t="s">
        <v>54</v>
      </c>
      <c r="U89" s="31" t="s">
        <v>174</v>
      </c>
      <c r="V89" s="31" t="s">
        <v>56</v>
      </c>
      <c r="AA89" s="31">
        <v>49900</v>
      </c>
    </row>
    <row r="90" spans="1:27" ht="13.5" x14ac:dyDescent="0.25">
      <c r="A90" s="30">
        <v>46036</v>
      </c>
      <c r="B90" s="71" t="s">
        <v>372</v>
      </c>
      <c r="C90" s="31" t="s">
        <v>59</v>
      </c>
      <c r="D90" s="72">
        <v>17024</v>
      </c>
      <c r="E90" s="31">
        <v>1</v>
      </c>
      <c r="F90" s="73" t="s">
        <v>373</v>
      </c>
      <c r="G90" s="31" t="s">
        <v>50</v>
      </c>
      <c r="H90" s="31" t="s">
        <v>180</v>
      </c>
      <c r="I90" s="73" t="s">
        <v>374</v>
      </c>
      <c r="J90" s="85">
        <v>43403659</v>
      </c>
      <c r="L90" s="85">
        <v>74561927</v>
      </c>
      <c r="N90" s="74" t="s">
        <v>375</v>
      </c>
      <c r="O90" s="75" t="str">
        <f>VLOOKUP(N90,[1]UPS_SETIIPRESS!$A$2:$B$527,2,0)</f>
        <v>CENTRO QUIRÚRGICO Y ANESTESIOLOGÍA</v>
      </c>
      <c r="P90" s="31">
        <v>30</v>
      </c>
      <c r="Q90" s="31" t="s">
        <v>50</v>
      </c>
      <c r="R90" s="31" t="s">
        <v>70</v>
      </c>
      <c r="S90" s="31" t="s">
        <v>76</v>
      </c>
      <c r="T90" s="31" t="s">
        <v>54</v>
      </c>
      <c r="U90" s="31" t="s">
        <v>80</v>
      </c>
      <c r="V90" s="31" t="s">
        <v>56</v>
      </c>
      <c r="AA90" s="31">
        <v>30520</v>
      </c>
    </row>
    <row r="91" spans="1:27" ht="13.5" x14ac:dyDescent="0.25">
      <c r="A91" s="30">
        <v>46036</v>
      </c>
      <c r="B91" s="71" t="s">
        <v>372</v>
      </c>
      <c r="C91" s="31" t="s">
        <v>69</v>
      </c>
      <c r="D91" s="72">
        <v>17024</v>
      </c>
      <c r="E91" s="31">
        <v>1</v>
      </c>
      <c r="F91" s="73" t="s">
        <v>373</v>
      </c>
      <c r="G91" s="31" t="s">
        <v>60</v>
      </c>
      <c r="H91" s="31" t="s">
        <v>108</v>
      </c>
      <c r="I91" s="73" t="s">
        <v>374</v>
      </c>
      <c r="J91" s="85">
        <v>25542321</v>
      </c>
      <c r="L91" s="85">
        <v>70257525</v>
      </c>
      <c r="N91" s="74" t="s">
        <v>375</v>
      </c>
      <c r="O91" s="75" t="str">
        <f>VLOOKUP(N91,[1]UPS_SETIIPRESS!$A$2:$B$527,2,0)</f>
        <v>CENTRO QUIRÚRGICO Y ANESTESIOLOGÍA</v>
      </c>
      <c r="P91" s="31">
        <v>38</v>
      </c>
      <c r="Q91" s="31" t="s">
        <v>63</v>
      </c>
      <c r="R91" s="31" t="s">
        <v>53</v>
      </c>
      <c r="S91" s="31" t="s">
        <v>76</v>
      </c>
      <c r="T91" s="31" t="s">
        <v>54</v>
      </c>
      <c r="U91" s="31" t="s">
        <v>109</v>
      </c>
      <c r="V91" s="31" t="s">
        <v>56</v>
      </c>
      <c r="AA91" s="31">
        <v>47562</v>
      </c>
    </row>
    <row r="92" spans="1:27" ht="13.5" x14ac:dyDescent="0.25">
      <c r="A92" s="30">
        <v>46036</v>
      </c>
      <c r="B92" s="71" t="s">
        <v>372</v>
      </c>
      <c r="C92" s="31" t="s">
        <v>59</v>
      </c>
      <c r="D92" s="72">
        <v>17024</v>
      </c>
      <c r="E92" s="31">
        <v>1</v>
      </c>
      <c r="F92" s="73" t="s">
        <v>373</v>
      </c>
      <c r="G92" s="31" t="s">
        <v>50</v>
      </c>
      <c r="H92" s="31" t="s">
        <v>105</v>
      </c>
      <c r="I92" s="73" t="s">
        <v>374</v>
      </c>
      <c r="J92" s="85">
        <v>18174396</v>
      </c>
      <c r="L92" s="85">
        <v>43430833</v>
      </c>
      <c r="N92" s="74" t="s">
        <v>375</v>
      </c>
      <c r="O92" s="75" t="str">
        <f>VLOOKUP(N92,[1]UPS_SETIIPRESS!$A$2:$B$527,2,0)</f>
        <v>CENTRO QUIRÚRGICO Y ANESTESIOLOGÍA</v>
      </c>
      <c r="P92" s="31">
        <v>67</v>
      </c>
      <c r="Q92" s="31" t="s">
        <v>50</v>
      </c>
      <c r="R92" s="31" t="s">
        <v>103</v>
      </c>
      <c r="S92" s="31" t="s">
        <v>54</v>
      </c>
      <c r="T92" s="31" t="s">
        <v>54</v>
      </c>
      <c r="U92" s="31" t="s">
        <v>107</v>
      </c>
      <c r="V92" s="31" t="s">
        <v>56</v>
      </c>
      <c r="AA92" s="31">
        <v>37220</v>
      </c>
    </row>
    <row r="93" spans="1:27" ht="13.5" x14ac:dyDescent="0.25">
      <c r="A93" s="31">
        <v>141</v>
      </c>
      <c r="B93" s="71" t="s">
        <v>372</v>
      </c>
      <c r="C93" s="31" t="s">
        <v>67</v>
      </c>
      <c r="D93" s="72">
        <v>17024</v>
      </c>
      <c r="E93" s="31">
        <v>1</v>
      </c>
      <c r="F93" s="73" t="s">
        <v>373</v>
      </c>
      <c r="G93" s="31" t="s">
        <v>50</v>
      </c>
      <c r="H93" s="31" t="s">
        <v>105</v>
      </c>
      <c r="I93" s="73" t="s">
        <v>374</v>
      </c>
      <c r="J93" s="85">
        <v>18174396</v>
      </c>
      <c r="L93" s="85">
        <v>6831577</v>
      </c>
      <c r="N93" s="74" t="s">
        <v>375</v>
      </c>
      <c r="O93" s="75" t="str">
        <f>VLOOKUP(N93,[1]UPS_SETIIPRESS!$A$2:$B$527,2,0)</f>
        <v>CENTRO QUIRÚRGICO Y ANESTESIOLOGÍA</v>
      </c>
      <c r="P93" s="31">
        <v>65</v>
      </c>
      <c r="Q93" s="31" t="s">
        <v>63</v>
      </c>
      <c r="R93" s="31" t="s">
        <v>63</v>
      </c>
      <c r="S93" s="31" t="s">
        <v>54</v>
      </c>
      <c r="T93" s="31" t="s">
        <v>54</v>
      </c>
      <c r="U93" s="31" t="s">
        <v>107</v>
      </c>
      <c r="V93" s="31" t="s">
        <v>56</v>
      </c>
      <c r="AA93" s="31">
        <v>37224</v>
      </c>
    </row>
    <row r="94" spans="1:27" ht="13.5" x14ac:dyDescent="0.25">
      <c r="A94" s="30">
        <v>46036</v>
      </c>
      <c r="B94" s="71" t="s">
        <v>372</v>
      </c>
      <c r="C94" s="31" t="s">
        <v>59</v>
      </c>
      <c r="D94" s="72">
        <v>17024</v>
      </c>
      <c r="E94" s="31">
        <v>1</v>
      </c>
      <c r="F94" s="73" t="s">
        <v>373</v>
      </c>
      <c r="G94" s="31" t="s">
        <v>50</v>
      </c>
      <c r="H94" s="31" t="s">
        <v>98</v>
      </c>
      <c r="I94" s="73" t="s">
        <v>374</v>
      </c>
      <c r="J94" s="85">
        <v>44897100</v>
      </c>
      <c r="L94" s="85">
        <v>63740768</v>
      </c>
      <c r="N94" s="74" t="s">
        <v>375</v>
      </c>
      <c r="O94" s="75" t="str">
        <f>VLOOKUP(N94,[1]UPS_SETIIPRESS!$A$2:$B$527,2,0)</f>
        <v>CENTRO QUIRÚRGICO Y ANESTESIOLOGÍA</v>
      </c>
      <c r="P94" s="31">
        <v>20</v>
      </c>
      <c r="Q94" s="31" t="s">
        <v>50</v>
      </c>
      <c r="R94" s="31" t="s">
        <v>58</v>
      </c>
      <c r="S94" s="31" t="s">
        <v>54</v>
      </c>
      <c r="T94" s="31" t="s">
        <v>54</v>
      </c>
      <c r="U94" s="31" t="s">
        <v>182</v>
      </c>
      <c r="V94" s="31" t="s">
        <v>56</v>
      </c>
      <c r="AA94" s="31">
        <v>25519</v>
      </c>
    </row>
    <row r="95" spans="1:27" ht="13.5" x14ac:dyDescent="0.25">
      <c r="A95" s="30">
        <v>46035</v>
      </c>
      <c r="B95" s="71" t="s">
        <v>372</v>
      </c>
      <c r="C95" s="31" t="s">
        <v>127</v>
      </c>
      <c r="D95" s="72">
        <v>17024</v>
      </c>
      <c r="E95" s="31">
        <v>1</v>
      </c>
      <c r="F95" s="73" t="s">
        <v>373</v>
      </c>
      <c r="G95" s="31" t="s">
        <v>50</v>
      </c>
      <c r="H95" s="31" t="s">
        <v>184</v>
      </c>
      <c r="I95" s="73" t="s">
        <v>374</v>
      </c>
      <c r="J95" s="85">
        <v>21866455</v>
      </c>
      <c r="L95" s="85">
        <v>74904738</v>
      </c>
      <c r="N95" s="74" t="s">
        <v>375</v>
      </c>
      <c r="O95" s="75" t="str">
        <f>VLOOKUP(N95,[1]UPS_SETIIPRESS!$A$2:$B$527,2,0)</f>
        <v>CENTRO QUIRÚRGICO Y ANESTESIOLOGÍA</v>
      </c>
      <c r="P95" s="31">
        <v>24</v>
      </c>
      <c r="Q95" s="31" t="s">
        <v>50</v>
      </c>
      <c r="R95" s="31" t="s">
        <v>63</v>
      </c>
      <c r="S95" s="31" t="s">
        <v>54</v>
      </c>
      <c r="T95" s="31" t="s">
        <v>54</v>
      </c>
      <c r="U95" s="31" t="s">
        <v>186</v>
      </c>
      <c r="V95" s="31" t="s">
        <v>56</v>
      </c>
      <c r="AA95" s="31">
        <v>47000</v>
      </c>
    </row>
    <row r="96" spans="1:27" ht="13.5" x14ac:dyDescent="0.25">
      <c r="A96" s="30">
        <v>46037</v>
      </c>
      <c r="B96" s="71" t="s">
        <v>372</v>
      </c>
      <c r="C96" s="31" t="s">
        <v>50</v>
      </c>
      <c r="D96" s="72">
        <v>17024</v>
      </c>
      <c r="E96" s="31">
        <v>1</v>
      </c>
      <c r="F96" s="73" t="s">
        <v>373</v>
      </c>
      <c r="G96" s="31" t="s">
        <v>60</v>
      </c>
      <c r="H96" s="31" t="s">
        <v>61</v>
      </c>
      <c r="I96" s="73" t="s">
        <v>374</v>
      </c>
      <c r="J96" s="85">
        <v>21523144</v>
      </c>
      <c r="L96" s="85">
        <v>61807519</v>
      </c>
      <c r="N96" s="74" t="s">
        <v>375</v>
      </c>
      <c r="O96" s="75" t="str">
        <f>VLOOKUP(N96,[1]UPS_SETIIPRESS!$A$2:$B$527,2,0)</f>
        <v>CENTRO QUIRÚRGICO Y ANESTESIOLOGÍA</v>
      </c>
      <c r="P96" s="31">
        <v>18</v>
      </c>
      <c r="Q96" s="31" t="s">
        <v>50</v>
      </c>
      <c r="R96" s="31" t="s">
        <v>63</v>
      </c>
      <c r="S96" s="31" t="s">
        <v>54</v>
      </c>
      <c r="T96" s="31" t="s">
        <v>54</v>
      </c>
      <c r="U96" s="31" t="s">
        <v>64</v>
      </c>
      <c r="V96" s="31" t="s">
        <v>56</v>
      </c>
      <c r="AA96" s="31">
        <v>90874</v>
      </c>
    </row>
    <row r="97" spans="1:27" ht="13.5" x14ac:dyDescent="0.25">
      <c r="A97" s="30">
        <v>46037</v>
      </c>
      <c r="B97" s="71" t="s">
        <v>372</v>
      </c>
      <c r="C97" s="31" t="s">
        <v>59</v>
      </c>
      <c r="D97" s="72">
        <v>17024</v>
      </c>
      <c r="E97" s="31">
        <v>1</v>
      </c>
      <c r="F97" s="73" t="s">
        <v>373</v>
      </c>
      <c r="G97" s="31" t="s">
        <v>60</v>
      </c>
      <c r="H97" s="31" t="s">
        <v>187</v>
      </c>
      <c r="I97" s="73" t="s">
        <v>374</v>
      </c>
      <c r="J97" s="85">
        <v>6289238</v>
      </c>
      <c r="L97" s="85">
        <v>43819124</v>
      </c>
      <c r="N97" s="74" t="s">
        <v>375</v>
      </c>
      <c r="O97" s="75" t="str">
        <f>VLOOKUP(N97,[1]UPS_SETIIPRESS!$A$2:$B$527,2,0)</f>
        <v>CENTRO QUIRÚRGICO Y ANESTESIOLOGÍA</v>
      </c>
      <c r="P97" s="31">
        <v>55</v>
      </c>
      <c r="Q97" s="31" t="s">
        <v>50</v>
      </c>
      <c r="R97" s="31" t="s">
        <v>53</v>
      </c>
      <c r="S97" s="31" t="s">
        <v>54</v>
      </c>
      <c r="T97" s="31" t="s">
        <v>54</v>
      </c>
      <c r="U97" s="31" t="s">
        <v>189</v>
      </c>
      <c r="V97" s="31" t="s">
        <v>56</v>
      </c>
      <c r="AA97" s="31">
        <v>11400</v>
      </c>
    </row>
    <row r="98" spans="1:27" ht="13.5" x14ac:dyDescent="0.25">
      <c r="A98" s="30">
        <v>46037</v>
      </c>
      <c r="B98" s="71" t="s">
        <v>372</v>
      </c>
      <c r="C98" s="31" t="s">
        <v>59</v>
      </c>
      <c r="D98" s="72">
        <v>17024</v>
      </c>
      <c r="E98" s="31">
        <v>1</v>
      </c>
      <c r="F98" s="73" t="s">
        <v>373</v>
      </c>
      <c r="G98" s="31" t="s">
        <v>50</v>
      </c>
      <c r="H98" s="31" t="s">
        <v>117</v>
      </c>
      <c r="I98" s="73" t="s">
        <v>374</v>
      </c>
      <c r="J98" s="85">
        <v>42948211</v>
      </c>
      <c r="L98" s="85">
        <v>43735135</v>
      </c>
      <c r="N98" s="74" t="s">
        <v>375</v>
      </c>
      <c r="O98" s="75" t="str">
        <f>VLOOKUP(N98,[1]UPS_SETIIPRESS!$A$2:$B$527,2,0)</f>
        <v>CENTRO QUIRÚRGICO Y ANESTESIOLOGÍA</v>
      </c>
      <c r="P98" s="31">
        <v>73</v>
      </c>
      <c r="Q98" s="31" t="s">
        <v>50</v>
      </c>
      <c r="R98" s="31" t="s">
        <v>53</v>
      </c>
      <c r="S98" s="31" t="s">
        <v>58</v>
      </c>
      <c r="T98" s="31" t="s">
        <v>54</v>
      </c>
      <c r="U98" s="31" t="s">
        <v>118</v>
      </c>
      <c r="V98" s="31" t="s">
        <v>56</v>
      </c>
      <c r="AA98" s="31">
        <v>64493</v>
      </c>
    </row>
    <row r="99" spans="1:27" ht="13.5" x14ac:dyDescent="0.25">
      <c r="A99" s="30">
        <v>46037</v>
      </c>
      <c r="B99" s="71" t="s">
        <v>372</v>
      </c>
      <c r="C99" s="31" t="s">
        <v>59</v>
      </c>
      <c r="D99" s="72">
        <v>17024</v>
      </c>
      <c r="E99" s="31">
        <v>1</v>
      </c>
      <c r="F99" s="73" t="s">
        <v>373</v>
      </c>
      <c r="G99" s="31" t="s">
        <v>50</v>
      </c>
      <c r="H99" s="31" t="s">
        <v>190</v>
      </c>
      <c r="I99" s="73" t="s">
        <v>374</v>
      </c>
      <c r="J99" s="85">
        <v>42111744</v>
      </c>
      <c r="L99" s="85">
        <v>8994881</v>
      </c>
      <c r="N99" s="74" t="s">
        <v>375</v>
      </c>
      <c r="O99" s="75" t="str">
        <f>VLOOKUP(N99,[1]UPS_SETIIPRESS!$A$2:$B$527,2,0)</f>
        <v>CENTRO QUIRÚRGICO Y ANESTESIOLOGÍA</v>
      </c>
      <c r="P99" s="31">
        <v>70</v>
      </c>
      <c r="Q99" s="31" t="s">
        <v>50</v>
      </c>
      <c r="R99" s="31" t="s">
        <v>103</v>
      </c>
      <c r="S99" s="31" t="s">
        <v>58</v>
      </c>
      <c r="T99" s="31" t="s">
        <v>54</v>
      </c>
      <c r="U99" s="31" t="s">
        <v>84</v>
      </c>
      <c r="V99" s="31" t="s">
        <v>56</v>
      </c>
      <c r="AA99" s="31">
        <v>52601</v>
      </c>
    </row>
    <row r="100" spans="1:27" ht="13.5" x14ac:dyDescent="0.25">
      <c r="A100" s="30">
        <v>46037</v>
      </c>
      <c r="B100" s="71" t="s">
        <v>372</v>
      </c>
      <c r="C100" s="31" t="s">
        <v>59</v>
      </c>
      <c r="D100" s="72">
        <v>17024</v>
      </c>
      <c r="E100" s="31">
        <v>1</v>
      </c>
      <c r="F100" s="73" t="s">
        <v>373</v>
      </c>
      <c r="G100" s="31" t="s">
        <v>50</v>
      </c>
      <c r="H100" s="31" t="s">
        <v>191</v>
      </c>
      <c r="I100" s="73" t="s">
        <v>374</v>
      </c>
      <c r="J100" s="85">
        <v>46691567</v>
      </c>
      <c r="L100" s="85">
        <v>9542215</v>
      </c>
      <c r="N100" s="74" t="s">
        <v>375</v>
      </c>
      <c r="O100" s="75" t="str">
        <f>VLOOKUP(N100,[1]UPS_SETIIPRESS!$A$2:$B$527,2,0)</f>
        <v>CENTRO QUIRÚRGICO Y ANESTESIOLOGÍA</v>
      </c>
      <c r="P100" s="31">
        <v>81</v>
      </c>
      <c r="Q100" s="31" t="s">
        <v>50</v>
      </c>
      <c r="R100" s="31" t="s">
        <v>53</v>
      </c>
      <c r="S100" s="31" t="s">
        <v>54</v>
      </c>
      <c r="T100" s="31" t="s">
        <v>54</v>
      </c>
      <c r="U100" s="31" t="s">
        <v>126</v>
      </c>
      <c r="V100" s="31" t="s">
        <v>56</v>
      </c>
      <c r="AA100" s="31">
        <v>66982</v>
      </c>
    </row>
    <row r="101" spans="1:27" ht="13.5" x14ac:dyDescent="0.25">
      <c r="A101" s="30">
        <v>46036</v>
      </c>
      <c r="B101" s="71" t="s">
        <v>372</v>
      </c>
      <c r="C101" s="31" t="s">
        <v>49</v>
      </c>
      <c r="D101" s="72">
        <v>17024</v>
      </c>
      <c r="E101" s="31">
        <v>1</v>
      </c>
      <c r="F101" s="73" t="s">
        <v>373</v>
      </c>
      <c r="G101" s="31" t="s">
        <v>60</v>
      </c>
      <c r="H101" s="31" t="s">
        <v>193</v>
      </c>
      <c r="I101" s="73" t="s">
        <v>374</v>
      </c>
      <c r="J101" s="85">
        <v>18086988</v>
      </c>
      <c r="L101" s="85">
        <v>47266104</v>
      </c>
      <c r="N101" s="74" t="s">
        <v>375</v>
      </c>
      <c r="O101" s="75" t="str">
        <f>VLOOKUP(N101,[1]UPS_SETIIPRESS!$A$2:$B$527,2,0)</f>
        <v>CENTRO QUIRÚRGICO Y ANESTESIOLOGÍA</v>
      </c>
      <c r="P101" s="31">
        <v>34</v>
      </c>
      <c r="Q101" s="31" t="s">
        <v>63</v>
      </c>
      <c r="R101" s="31" t="s">
        <v>63</v>
      </c>
      <c r="S101" s="31" t="s">
        <v>54</v>
      </c>
      <c r="T101" s="31" t="s">
        <v>54</v>
      </c>
      <c r="U101" s="31" t="s">
        <v>194</v>
      </c>
      <c r="V101" s="31" t="s">
        <v>56</v>
      </c>
      <c r="AA101" s="31">
        <v>59310</v>
      </c>
    </row>
    <row r="102" spans="1:27" ht="13.5" x14ac:dyDescent="0.25">
      <c r="A102" s="30">
        <v>46036</v>
      </c>
      <c r="B102" s="71" t="s">
        <v>372</v>
      </c>
      <c r="C102" s="31" t="s">
        <v>127</v>
      </c>
      <c r="D102" s="72">
        <v>17024</v>
      </c>
      <c r="E102" s="31">
        <v>1</v>
      </c>
      <c r="F102" s="73" t="s">
        <v>373</v>
      </c>
      <c r="G102" s="31" t="s">
        <v>60</v>
      </c>
      <c r="H102" s="31" t="s">
        <v>195</v>
      </c>
      <c r="I102" s="73" t="s">
        <v>374</v>
      </c>
      <c r="J102" s="85">
        <v>32951664</v>
      </c>
      <c r="L102" s="85">
        <v>8348474</v>
      </c>
      <c r="N102" s="74" t="s">
        <v>375</v>
      </c>
      <c r="O102" s="75" t="str">
        <f>VLOOKUP(N102,[1]UPS_SETIIPRESS!$A$2:$B$527,2,0)</f>
        <v>CENTRO QUIRÚRGICO Y ANESTESIOLOGÍA</v>
      </c>
      <c r="P102" s="31">
        <v>75</v>
      </c>
      <c r="Q102" s="31" t="s">
        <v>50</v>
      </c>
      <c r="R102" s="31" t="s">
        <v>103</v>
      </c>
      <c r="S102" s="31" t="s">
        <v>54</v>
      </c>
      <c r="T102" s="31" t="s">
        <v>54</v>
      </c>
      <c r="U102" s="31" t="s">
        <v>165</v>
      </c>
      <c r="V102" s="31" t="s">
        <v>56</v>
      </c>
      <c r="AA102" s="31">
        <v>479000</v>
      </c>
    </row>
    <row r="103" spans="1:27" ht="13.5" x14ac:dyDescent="0.25">
      <c r="A103" s="30">
        <v>46037</v>
      </c>
      <c r="B103" s="71" t="s">
        <v>372</v>
      </c>
      <c r="C103" s="31" t="s">
        <v>127</v>
      </c>
      <c r="D103" s="72">
        <v>17024</v>
      </c>
      <c r="E103" s="31">
        <v>1</v>
      </c>
      <c r="F103" s="73" t="s">
        <v>373</v>
      </c>
      <c r="G103" s="31" t="s">
        <v>60</v>
      </c>
      <c r="H103" s="31" t="s">
        <v>195</v>
      </c>
      <c r="I103" s="73" t="s">
        <v>374</v>
      </c>
      <c r="J103" s="85">
        <v>32951664</v>
      </c>
      <c r="L103" s="85">
        <v>23918919</v>
      </c>
      <c r="N103" s="74" t="s">
        <v>375</v>
      </c>
      <c r="O103" s="75" t="str">
        <f>VLOOKUP(N103,[1]UPS_SETIIPRESS!$A$2:$B$527,2,0)</f>
        <v>CENTRO QUIRÚRGICO Y ANESTESIOLOGÍA</v>
      </c>
      <c r="P103" s="31">
        <v>71</v>
      </c>
      <c r="Q103" s="31" t="s">
        <v>63</v>
      </c>
      <c r="R103" s="31" t="s">
        <v>63</v>
      </c>
      <c r="S103" s="31" t="s">
        <v>54</v>
      </c>
      <c r="T103" s="31" t="s">
        <v>54</v>
      </c>
      <c r="U103" s="31" t="s">
        <v>154</v>
      </c>
      <c r="V103" s="31" t="s">
        <v>56</v>
      </c>
      <c r="AA103" s="31">
        <v>47562</v>
      </c>
    </row>
    <row r="104" spans="1:27" ht="13.5" x14ac:dyDescent="0.25">
      <c r="A104" s="30">
        <v>46037</v>
      </c>
      <c r="B104" s="71" t="s">
        <v>372</v>
      </c>
      <c r="C104" s="31" t="s">
        <v>50</v>
      </c>
      <c r="D104" s="72">
        <v>17024</v>
      </c>
      <c r="E104" s="31">
        <v>1</v>
      </c>
      <c r="F104" s="73" t="s">
        <v>373</v>
      </c>
      <c r="G104" s="31" t="s">
        <v>50</v>
      </c>
      <c r="H104" s="31" t="s">
        <v>105</v>
      </c>
      <c r="I104" s="73" t="s">
        <v>374</v>
      </c>
      <c r="J104" s="85">
        <v>18174396</v>
      </c>
      <c r="L104" s="85">
        <v>75406674</v>
      </c>
      <c r="N104" s="74" t="s">
        <v>375</v>
      </c>
      <c r="O104" s="75" t="str">
        <f>VLOOKUP(N104,[1]UPS_SETIIPRESS!$A$2:$B$527,2,0)</f>
        <v>CENTRO QUIRÚRGICO Y ANESTESIOLOGÍA</v>
      </c>
      <c r="P104" s="31">
        <v>26</v>
      </c>
      <c r="Q104" s="31" t="s">
        <v>63</v>
      </c>
      <c r="R104" s="31" t="s">
        <v>70</v>
      </c>
      <c r="S104" s="31" t="s">
        <v>76</v>
      </c>
      <c r="T104" s="31" t="s">
        <v>54</v>
      </c>
      <c r="U104" s="31" t="s">
        <v>196</v>
      </c>
      <c r="V104" s="31" t="s">
        <v>56</v>
      </c>
      <c r="AA104" s="31">
        <v>36561</v>
      </c>
    </row>
    <row r="105" spans="1:27" ht="13.5" x14ac:dyDescent="0.25">
      <c r="A105" s="30">
        <v>46037</v>
      </c>
      <c r="B105" s="71" t="s">
        <v>372</v>
      </c>
      <c r="C105" s="31" t="s">
        <v>49</v>
      </c>
      <c r="D105" s="72">
        <v>17024</v>
      </c>
      <c r="E105" s="31">
        <v>1</v>
      </c>
      <c r="F105" s="73" t="s">
        <v>373</v>
      </c>
      <c r="G105" s="31" t="s">
        <v>50</v>
      </c>
      <c r="H105" s="31" t="s">
        <v>145</v>
      </c>
      <c r="I105" s="73" t="s">
        <v>374</v>
      </c>
      <c r="J105" s="85">
        <v>45644205</v>
      </c>
      <c r="L105" s="85">
        <v>400375600</v>
      </c>
      <c r="N105" s="74" t="s">
        <v>375</v>
      </c>
      <c r="O105" s="75" t="str">
        <f>VLOOKUP(N105,[1]UPS_SETIIPRESS!$A$2:$B$527,2,0)</f>
        <v>CENTRO QUIRÚRGICO Y ANESTESIOLOGÍA</v>
      </c>
      <c r="P105" s="31">
        <v>40</v>
      </c>
      <c r="Q105" s="31" t="s">
        <v>198</v>
      </c>
      <c r="R105" s="31" t="s">
        <v>53</v>
      </c>
      <c r="S105" s="31" t="s">
        <v>76</v>
      </c>
      <c r="T105" s="31" t="s">
        <v>54</v>
      </c>
      <c r="U105" s="31" t="s">
        <v>194</v>
      </c>
      <c r="V105" s="31" t="s">
        <v>56</v>
      </c>
      <c r="AA105" s="31" t="s">
        <v>199</v>
      </c>
    </row>
    <row r="106" spans="1:27" ht="13.5" x14ac:dyDescent="0.25">
      <c r="A106" s="30">
        <v>46038</v>
      </c>
      <c r="B106" s="71" t="s">
        <v>372</v>
      </c>
      <c r="C106" s="31" t="s">
        <v>50</v>
      </c>
      <c r="D106" s="72">
        <v>17024</v>
      </c>
      <c r="E106" s="31">
        <v>1</v>
      </c>
      <c r="F106" s="73" t="s">
        <v>373</v>
      </c>
      <c r="G106" s="31" t="s">
        <v>60</v>
      </c>
      <c r="H106" s="31" t="s">
        <v>61</v>
      </c>
      <c r="I106" s="73" t="s">
        <v>374</v>
      </c>
      <c r="J106" s="85">
        <v>21523144</v>
      </c>
      <c r="L106" s="85">
        <v>61807519</v>
      </c>
      <c r="N106" s="74" t="s">
        <v>375</v>
      </c>
      <c r="O106" s="75" t="str">
        <f>VLOOKUP(N106,[1]UPS_SETIIPRESS!$A$2:$B$527,2,0)</f>
        <v>CENTRO QUIRÚRGICO Y ANESTESIOLOGÍA</v>
      </c>
      <c r="P106" s="31">
        <v>18</v>
      </c>
      <c r="Q106" s="31" t="s">
        <v>50</v>
      </c>
      <c r="R106" s="31" t="s">
        <v>63</v>
      </c>
      <c r="S106" s="31" t="s">
        <v>54</v>
      </c>
      <c r="T106" s="31" t="s">
        <v>54</v>
      </c>
      <c r="U106" s="31" t="s">
        <v>64</v>
      </c>
      <c r="V106" s="31" t="s">
        <v>56</v>
      </c>
      <c r="AA106" s="31">
        <v>90874</v>
      </c>
    </row>
    <row r="107" spans="1:27" ht="13.5" x14ac:dyDescent="0.25">
      <c r="A107" s="30">
        <v>46038</v>
      </c>
      <c r="B107" s="71" t="s">
        <v>372</v>
      </c>
      <c r="C107" s="31" t="s">
        <v>50</v>
      </c>
      <c r="D107" s="72">
        <v>17024</v>
      </c>
      <c r="E107" s="31">
        <v>1</v>
      </c>
      <c r="F107" s="73" t="s">
        <v>373</v>
      </c>
      <c r="G107" s="31" t="s">
        <v>60</v>
      </c>
      <c r="H107" s="31" t="s">
        <v>61</v>
      </c>
      <c r="I107" s="73" t="s">
        <v>374</v>
      </c>
      <c r="J107" s="85">
        <v>21523144</v>
      </c>
      <c r="L107" s="85">
        <v>9145142</v>
      </c>
      <c r="N107" s="74" t="s">
        <v>375</v>
      </c>
      <c r="O107" s="75" t="str">
        <f>VLOOKUP(N107,[1]UPS_SETIIPRESS!$A$2:$B$527,2,0)</f>
        <v>CENTRO QUIRÚRGICO Y ANESTESIOLOGÍA</v>
      </c>
      <c r="P107" s="31">
        <v>59</v>
      </c>
      <c r="Q107" s="31" t="s">
        <v>63</v>
      </c>
      <c r="R107" s="31" t="s">
        <v>63</v>
      </c>
      <c r="S107" s="31" t="s">
        <v>54</v>
      </c>
      <c r="T107" s="31" t="s">
        <v>54</v>
      </c>
      <c r="U107" s="31" t="s">
        <v>64</v>
      </c>
      <c r="V107" s="31" t="s">
        <v>56</v>
      </c>
      <c r="AA107" s="31">
        <v>90874</v>
      </c>
    </row>
    <row r="108" spans="1:27" ht="13.5" x14ac:dyDescent="0.25">
      <c r="A108" s="30">
        <v>46038</v>
      </c>
      <c r="B108" s="71" t="s">
        <v>372</v>
      </c>
      <c r="C108" s="31" t="s">
        <v>50</v>
      </c>
      <c r="D108" s="72">
        <v>17024</v>
      </c>
      <c r="E108" s="31">
        <v>1</v>
      </c>
      <c r="F108" s="73" t="s">
        <v>373</v>
      </c>
      <c r="G108" s="31" t="s">
        <v>50</v>
      </c>
      <c r="H108" s="31" t="s">
        <v>176</v>
      </c>
      <c r="I108" s="73" t="s">
        <v>374</v>
      </c>
      <c r="J108" s="85">
        <v>21523144</v>
      </c>
      <c r="L108" s="85">
        <v>8804056</v>
      </c>
      <c r="N108" s="74" t="s">
        <v>375</v>
      </c>
      <c r="O108" s="75" t="str">
        <f>VLOOKUP(N108,[1]UPS_SETIIPRESS!$A$2:$B$527,2,0)</f>
        <v>CENTRO QUIRÚRGICO Y ANESTESIOLOGÍA</v>
      </c>
      <c r="P108" s="31">
        <v>66</v>
      </c>
      <c r="Q108" s="31" t="s">
        <v>50</v>
      </c>
      <c r="R108" s="31" t="s">
        <v>58</v>
      </c>
      <c r="S108" s="31" t="s">
        <v>54</v>
      </c>
      <c r="T108" s="31" t="s">
        <v>57</v>
      </c>
      <c r="U108" s="31" t="s">
        <v>64</v>
      </c>
      <c r="V108" s="31" t="s">
        <v>56</v>
      </c>
      <c r="AA108" s="31">
        <v>90874</v>
      </c>
    </row>
    <row r="109" spans="1:27" ht="13.5" x14ac:dyDescent="0.25">
      <c r="A109" s="30">
        <v>46038</v>
      </c>
      <c r="B109" s="71" t="s">
        <v>372</v>
      </c>
      <c r="C109" s="31" t="s">
        <v>50</v>
      </c>
      <c r="D109" s="72">
        <v>17024</v>
      </c>
      <c r="E109" s="31">
        <v>1</v>
      </c>
      <c r="F109" s="73" t="s">
        <v>373</v>
      </c>
      <c r="G109" s="31" t="s">
        <v>60</v>
      </c>
      <c r="H109" s="31" t="s">
        <v>200</v>
      </c>
      <c r="I109" s="73" t="s">
        <v>374</v>
      </c>
      <c r="J109" s="85">
        <v>71094795</v>
      </c>
      <c r="L109" s="85">
        <v>8936361</v>
      </c>
      <c r="N109" s="74" t="s">
        <v>375</v>
      </c>
      <c r="O109" s="75" t="str">
        <f>VLOOKUP(N109,[1]UPS_SETIIPRESS!$A$2:$B$527,2,0)</f>
        <v>CENTRO QUIRÚRGICO Y ANESTESIOLOGÍA</v>
      </c>
      <c r="P109" s="31">
        <v>65</v>
      </c>
      <c r="Q109" s="31" t="s">
        <v>63</v>
      </c>
      <c r="R109" s="31" t="s">
        <v>63</v>
      </c>
      <c r="S109" s="31" t="s">
        <v>54</v>
      </c>
      <c r="T109" s="31" t="s">
        <v>54</v>
      </c>
      <c r="U109" s="31" t="s">
        <v>126</v>
      </c>
      <c r="V109" s="31" t="s">
        <v>56</v>
      </c>
      <c r="AA109" s="31">
        <v>66982</v>
      </c>
    </row>
    <row r="110" spans="1:27" ht="13.5" x14ac:dyDescent="0.25">
      <c r="A110" s="30">
        <v>46038</v>
      </c>
      <c r="B110" s="71" t="s">
        <v>372</v>
      </c>
      <c r="C110" s="31" t="s">
        <v>50</v>
      </c>
      <c r="D110" s="72">
        <v>17024</v>
      </c>
      <c r="E110" s="31">
        <v>1</v>
      </c>
      <c r="F110" s="73" t="s">
        <v>373</v>
      </c>
      <c r="G110" s="31" t="s">
        <v>60</v>
      </c>
      <c r="H110" s="31" t="s">
        <v>200</v>
      </c>
      <c r="I110" s="73" t="s">
        <v>374</v>
      </c>
      <c r="J110" s="85">
        <v>71094795</v>
      </c>
      <c r="L110" s="85">
        <v>6291742</v>
      </c>
      <c r="N110" s="74" t="s">
        <v>375</v>
      </c>
      <c r="O110" s="75" t="str">
        <f>VLOOKUP(N110,[1]UPS_SETIIPRESS!$A$2:$B$527,2,0)</f>
        <v>CENTRO QUIRÚRGICO Y ANESTESIOLOGÍA</v>
      </c>
      <c r="P110" s="31">
        <v>67</v>
      </c>
      <c r="Q110" s="31" t="s">
        <v>63</v>
      </c>
      <c r="R110" s="31" t="s">
        <v>63</v>
      </c>
      <c r="S110" s="31" t="s">
        <v>54</v>
      </c>
      <c r="T110" s="31" t="s">
        <v>54</v>
      </c>
      <c r="U110" s="31" t="s">
        <v>126</v>
      </c>
      <c r="V110" s="31" t="s">
        <v>56</v>
      </c>
      <c r="AA110" s="31">
        <v>66982</v>
      </c>
    </row>
    <row r="111" spans="1:27" ht="13.5" x14ac:dyDescent="0.25">
      <c r="A111" s="30">
        <v>46038</v>
      </c>
      <c r="B111" s="71" t="s">
        <v>372</v>
      </c>
      <c r="C111" s="31" t="s">
        <v>59</v>
      </c>
      <c r="D111" s="72">
        <v>17024</v>
      </c>
      <c r="E111" s="31">
        <v>1</v>
      </c>
      <c r="F111" s="73" t="s">
        <v>373</v>
      </c>
      <c r="G111" s="31" t="s">
        <v>50</v>
      </c>
      <c r="H111" s="31" t="s">
        <v>203</v>
      </c>
      <c r="I111" s="73" t="s">
        <v>374</v>
      </c>
      <c r="J111" s="85">
        <v>43403659</v>
      </c>
      <c r="L111" s="85">
        <v>325862900</v>
      </c>
      <c r="N111" s="74" t="s">
        <v>375</v>
      </c>
      <c r="O111" s="75" t="str">
        <f>VLOOKUP(N111,[1]UPS_SETIIPRESS!$A$2:$B$527,2,0)</f>
        <v>CENTRO QUIRÚRGICO Y ANESTESIOLOGÍA</v>
      </c>
      <c r="P111" s="31">
        <v>45</v>
      </c>
      <c r="Q111" s="31" t="s">
        <v>50</v>
      </c>
      <c r="R111" s="31" t="s">
        <v>103</v>
      </c>
      <c r="S111" s="31" t="s">
        <v>76</v>
      </c>
      <c r="T111" s="31" t="s">
        <v>54</v>
      </c>
      <c r="U111" s="31" t="s">
        <v>80</v>
      </c>
      <c r="V111" s="31" t="s">
        <v>56</v>
      </c>
      <c r="AA111" s="31">
        <v>31545</v>
      </c>
    </row>
    <row r="112" spans="1:27" ht="13.5" x14ac:dyDescent="0.25">
      <c r="A112" s="30">
        <v>46038</v>
      </c>
      <c r="B112" s="71" t="s">
        <v>372</v>
      </c>
      <c r="C112" s="31" t="s">
        <v>67</v>
      </c>
      <c r="D112" s="72">
        <v>17024</v>
      </c>
      <c r="E112" s="31">
        <v>1</v>
      </c>
      <c r="F112" s="73" t="s">
        <v>373</v>
      </c>
      <c r="G112" s="31" t="s">
        <v>60</v>
      </c>
      <c r="H112" s="31" t="s">
        <v>204</v>
      </c>
      <c r="I112" s="73" t="s">
        <v>374</v>
      </c>
      <c r="J112" s="85">
        <v>43281505</v>
      </c>
      <c r="L112" s="85" t="s">
        <v>205</v>
      </c>
      <c r="N112" s="74" t="s">
        <v>375</v>
      </c>
      <c r="O112" s="75" t="str">
        <f>VLOOKUP(N112,[1]UPS_SETIIPRESS!$A$2:$B$527,2,0)</f>
        <v>CENTRO QUIRÚRGICO Y ANESTESIOLOGÍA</v>
      </c>
      <c r="P112" s="31">
        <v>19</v>
      </c>
      <c r="Q112" s="31" t="s">
        <v>50</v>
      </c>
      <c r="R112" s="31" t="s">
        <v>58</v>
      </c>
      <c r="S112" s="31" t="s">
        <v>76</v>
      </c>
      <c r="T112" s="31" t="s">
        <v>54</v>
      </c>
      <c r="U112" s="31" t="s">
        <v>206</v>
      </c>
      <c r="V112" s="31" t="s">
        <v>56</v>
      </c>
      <c r="AA112" s="31">
        <v>30520</v>
      </c>
    </row>
    <row r="113" spans="1:27" ht="13.5" x14ac:dyDescent="0.25">
      <c r="A113" s="30">
        <v>46038</v>
      </c>
      <c r="B113" s="71" t="s">
        <v>372</v>
      </c>
      <c r="C113" s="31" t="s">
        <v>93</v>
      </c>
      <c r="D113" s="72">
        <v>17024</v>
      </c>
      <c r="E113" s="31">
        <v>1</v>
      </c>
      <c r="F113" s="73" t="s">
        <v>373</v>
      </c>
      <c r="G113" s="31" t="s">
        <v>60</v>
      </c>
      <c r="H113" s="31" t="s">
        <v>159</v>
      </c>
      <c r="I113" s="73" t="s">
        <v>374</v>
      </c>
      <c r="J113" s="85">
        <v>22254408</v>
      </c>
      <c r="L113" s="85">
        <v>6173146</v>
      </c>
      <c r="N113" s="74" t="s">
        <v>375</v>
      </c>
      <c r="O113" s="75" t="str">
        <f>VLOOKUP(N113,[1]UPS_SETIIPRESS!$A$2:$B$527,2,0)</f>
        <v>CENTRO QUIRÚRGICO Y ANESTESIOLOGÍA</v>
      </c>
      <c r="P113" s="31">
        <v>61</v>
      </c>
      <c r="Q113" s="31" t="s">
        <v>50</v>
      </c>
      <c r="R113" s="31" t="s">
        <v>53</v>
      </c>
      <c r="S113" s="31" t="s">
        <v>58</v>
      </c>
      <c r="T113" s="31" t="s">
        <v>54</v>
      </c>
      <c r="U113" s="31" t="s">
        <v>207</v>
      </c>
      <c r="V113" s="31" t="s">
        <v>56</v>
      </c>
      <c r="AA113" s="31">
        <v>49505</v>
      </c>
    </row>
    <row r="114" spans="1:27" ht="13.5" x14ac:dyDescent="0.25">
      <c r="A114" s="30">
        <v>46038</v>
      </c>
      <c r="B114" s="71" t="s">
        <v>372</v>
      </c>
      <c r="C114" s="31" t="s">
        <v>97</v>
      </c>
      <c r="D114" s="72">
        <v>17024</v>
      </c>
      <c r="E114" s="31">
        <v>1</v>
      </c>
      <c r="F114" s="73" t="s">
        <v>373</v>
      </c>
      <c r="G114" s="31" t="s">
        <v>60</v>
      </c>
      <c r="H114" s="31" t="s">
        <v>159</v>
      </c>
      <c r="I114" s="73" t="s">
        <v>374</v>
      </c>
      <c r="J114" s="85">
        <v>22254408</v>
      </c>
      <c r="L114" s="85">
        <v>9494726</v>
      </c>
      <c r="N114" s="74" t="s">
        <v>375</v>
      </c>
      <c r="O114" s="75" t="str">
        <f>VLOOKUP(N114,[1]UPS_SETIIPRESS!$A$2:$B$527,2,0)</f>
        <v>CENTRO QUIRÚRGICO Y ANESTESIOLOGÍA</v>
      </c>
      <c r="P114" s="31">
        <v>54</v>
      </c>
      <c r="Q114" s="31" t="s">
        <v>63</v>
      </c>
      <c r="R114" s="31" t="s">
        <v>63</v>
      </c>
      <c r="S114" s="31" t="s">
        <v>54</v>
      </c>
      <c r="T114" s="31" t="s">
        <v>54</v>
      </c>
      <c r="U114" s="31" t="s">
        <v>208</v>
      </c>
      <c r="V114" s="31" t="s">
        <v>56</v>
      </c>
      <c r="AA114" s="31">
        <v>4330</v>
      </c>
    </row>
    <row r="115" spans="1:27" ht="13.5" x14ac:dyDescent="0.25">
      <c r="A115" s="30">
        <v>46038</v>
      </c>
      <c r="B115" s="71" t="s">
        <v>372</v>
      </c>
      <c r="C115" s="31" t="s">
        <v>100</v>
      </c>
      <c r="D115" s="72">
        <v>17024</v>
      </c>
      <c r="E115" s="31">
        <v>1</v>
      </c>
      <c r="F115" s="73" t="s">
        <v>373</v>
      </c>
      <c r="G115" s="31" t="s">
        <v>50</v>
      </c>
      <c r="H115" s="31" t="s">
        <v>209</v>
      </c>
      <c r="I115" s="73" t="s">
        <v>374</v>
      </c>
      <c r="J115" s="85">
        <v>44171651</v>
      </c>
      <c r="L115" s="85">
        <v>60833597</v>
      </c>
      <c r="N115" s="74" t="s">
        <v>375</v>
      </c>
      <c r="O115" s="75" t="str">
        <f>VLOOKUP(N115,[1]UPS_SETIIPRESS!$A$2:$B$527,2,0)</f>
        <v>CENTRO QUIRÚRGICO Y ANESTESIOLOGÍA</v>
      </c>
      <c r="P115" s="31">
        <v>16</v>
      </c>
      <c r="Q115" s="31" t="s">
        <v>50</v>
      </c>
      <c r="R115" s="31" t="s">
        <v>58</v>
      </c>
      <c r="S115" s="31" t="s">
        <v>76</v>
      </c>
      <c r="T115" s="31" t="s">
        <v>54</v>
      </c>
      <c r="U115" s="31" t="s">
        <v>109</v>
      </c>
      <c r="V115" s="31" t="s">
        <v>56</v>
      </c>
      <c r="AA115" s="31">
        <v>47562</v>
      </c>
    </row>
    <row r="116" spans="1:27" ht="13.5" x14ac:dyDescent="0.25">
      <c r="A116" s="30">
        <v>46038</v>
      </c>
      <c r="B116" s="71" t="s">
        <v>372</v>
      </c>
      <c r="C116" s="31" t="s">
        <v>141</v>
      </c>
      <c r="D116" s="72">
        <v>17024</v>
      </c>
      <c r="E116" s="31">
        <v>1</v>
      </c>
      <c r="F116" s="73" t="s">
        <v>373</v>
      </c>
      <c r="G116" s="31" t="s">
        <v>60</v>
      </c>
      <c r="H116" s="31" t="s">
        <v>152</v>
      </c>
      <c r="I116" s="73" t="s">
        <v>374</v>
      </c>
      <c r="J116" s="85">
        <v>9652446</v>
      </c>
      <c r="L116" s="85">
        <v>60110916</v>
      </c>
      <c r="N116" s="74" t="s">
        <v>375</v>
      </c>
      <c r="O116" s="75" t="str">
        <f>VLOOKUP(N116,[1]UPS_SETIIPRESS!$A$2:$B$527,2,0)</f>
        <v>CENTRO QUIRÚRGICO Y ANESTESIOLOGÍA</v>
      </c>
      <c r="P116" s="31">
        <v>19</v>
      </c>
      <c r="Q116" s="31" t="s">
        <v>50</v>
      </c>
      <c r="R116" s="31" t="s">
        <v>58</v>
      </c>
      <c r="S116" s="31" t="s">
        <v>76</v>
      </c>
      <c r="T116" s="31" t="s">
        <v>54</v>
      </c>
      <c r="U116" s="31" t="s">
        <v>210</v>
      </c>
      <c r="V116" s="31" t="s">
        <v>56</v>
      </c>
      <c r="AA116" s="31">
        <v>49650</v>
      </c>
    </row>
    <row r="117" spans="1:27" ht="13.5" x14ac:dyDescent="0.25">
      <c r="A117" s="30">
        <v>46038</v>
      </c>
      <c r="B117" s="71" t="s">
        <v>372</v>
      </c>
      <c r="C117" s="31" t="s">
        <v>59</v>
      </c>
      <c r="D117" s="72">
        <v>17024</v>
      </c>
      <c r="E117" s="31">
        <v>1</v>
      </c>
      <c r="F117" s="73" t="s">
        <v>373</v>
      </c>
      <c r="G117" s="31" t="s">
        <v>60</v>
      </c>
      <c r="H117" s="31" t="s">
        <v>211</v>
      </c>
      <c r="I117" s="73" t="s">
        <v>374</v>
      </c>
      <c r="J117" s="85">
        <v>45693874</v>
      </c>
      <c r="L117" s="85">
        <v>9571688</v>
      </c>
      <c r="N117" s="74" t="s">
        <v>375</v>
      </c>
      <c r="O117" s="75" t="str">
        <f>VLOOKUP(N117,[1]UPS_SETIIPRESS!$A$2:$B$527,2,0)</f>
        <v>CENTRO QUIRÚRGICO Y ANESTESIOLOGÍA</v>
      </c>
      <c r="P117" s="31">
        <v>58</v>
      </c>
      <c r="Q117" s="31" t="s">
        <v>50</v>
      </c>
      <c r="R117" s="31" t="s">
        <v>54</v>
      </c>
      <c r="S117" s="31" t="s">
        <v>54</v>
      </c>
      <c r="T117" s="31" t="s">
        <v>54</v>
      </c>
      <c r="U117" s="31" t="s">
        <v>212</v>
      </c>
      <c r="V117" s="31" t="s">
        <v>56</v>
      </c>
      <c r="AA117" s="31">
        <v>29806</v>
      </c>
    </row>
    <row r="118" spans="1:27" ht="13.5" x14ac:dyDescent="0.25">
      <c r="A118" s="30">
        <v>46038</v>
      </c>
      <c r="B118" s="71" t="s">
        <v>372</v>
      </c>
      <c r="C118" s="31" t="s">
        <v>93</v>
      </c>
      <c r="D118" s="72">
        <v>17024</v>
      </c>
      <c r="E118" s="31">
        <v>1</v>
      </c>
      <c r="F118" s="73" t="s">
        <v>373</v>
      </c>
      <c r="G118" s="31" t="s">
        <v>50</v>
      </c>
      <c r="H118" s="31" t="s">
        <v>213</v>
      </c>
      <c r="I118" s="73" t="s">
        <v>374</v>
      </c>
      <c r="J118" s="85">
        <v>43103030</v>
      </c>
      <c r="L118" s="85">
        <v>8670344</v>
      </c>
      <c r="N118" s="74" t="s">
        <v>375</v>
      </c>
      <c r="O118" s="75" t="str">
        <f>VLOOKUP(N118,[1]UPS_SETIIPRESS!$A$2:$B$527,2,0)</f>
        <v>CENTRO QUIRÚRGICO Y ANESTESIOLOGÍA</v>
      </c>
      <c r="P118" s="31">
        <v>58</v>
      </c>
      <c r="Q118" s="31" t="s">
        <v>63</v>
      </c>
      <c r="R118" s="31" t="s">
        <v>63</v>
      </c>
      <c r="S118" s="31" t="s">
        <v>58</v>
      </c>
      <c r="T118" s="31" t="s">
        <v>54</v>
      </c>
      <c r="U118" s="31" t="s">
        <v>214</v>
      </c>
      <c r="V118" s="31" t="s">
        <v>56</v>
      </c>
      <c r="AA118" s="31">
        <v>58661</v>
      </c>
    </row>
    <row r="119" spans="1:27" ht="13.5" x14ac:dyDescent="0.25">
      <c r="A119" s="30">
        <v>46038</v>
      </c>
      <c r="B119" s="71" t="s">
        <v>372</v>
      </c>
      <c r="C119" s="31" t="s">
        <v>97</v>
      </c>
      <c r="D119" s="72">
        <v>17024</v>
      </c>
      <c r="E119" s="31">
        <v>1</v>
      </c>
      <c r="F119" s="73" t="s">
        <v>373</v>
      </c>
      <c r="G119" s="31" t="s">
        <v>60</v>
      </c>
      <c r="H119" s="31" t="s">
        <v>72</v>
      </c>
      <c r="I119" s="73" t="s">
        <v>374</v>
      </c>
      <c r="J119" s="85">
        <v>45693874</v>
      </c>
      <c r="L119" s="85">
        <v>949100</v>
      </c>
      <c r="N119" s="74" t="s">
        <v>375</v>
      </c>
      <c r="O119" s="75" t="str">
        <f>VLOOKUP(N119,[1]UPS_SETIIPRESS!$A$2:$B$527,2,0)</f>
        <v>CENTRO QUIRÚRGICO Y ANESTESIOLOGÍA</v>
      </c>
      <c r="P119" s="31">
        <v>69</v>
      </c>
      <c r="Q119" s="31" t="s">
        <v>50</v>
      </c>
      <c r="R119" s="31" t="s">
        <v>103</v>
      </c>
      <c r="S119" s="31" t="s">
        <v>54</v>
      </c>
      <c r="T119" s="31" t="s">
        <v>54</v>
      </c>
      <c r="U119" s="31" t="s">
        <v>164</v>
      </c>
      <c r="V119" s="31" t="s">
        <v>56</v>
      </c>
      <c r="AA119" s="31">
        <v>64718</v>
      </c>
    </row>
    <row r="120" spans="1:27" ht="13.5" x14ac:dyDescent="0.25">
      <c r="A120" s="30">
        <v>46038</v>
      </c>
      <c r="B120" s="71" t="s">
        <v>372</v>
      </c>
      <c r="C120" s="31" t="s">
        <v>100</v>
      </c>
      <c r="D120" s="72">
        <v>17024</v>
      </c>
      <c r="E120" s="31">
        <v>1</v>
      </c>
      <c r="F120" s="73" t="s">
        <v>373</v>
      </c>
      <c r="G120" s="31" t="s">
        <v>60</v>
      </c>
      <c r="H120" s="31" t="s">
        <v>72</v>
      </c>
      <c r="I120" s="73" t="s">
        <v>374</v>
      </c>
      <c r="J120" s="85">
        <v>45693874</v>
      </c>
      <c r="L120" s="85">
        <v>43259423</v>
      </c>
      <c r="N120" s="74" t="s">
        <v>375</v>
      </c>
      <c r="O120" s="75" t="str">
        <f>VLOOKUP(N120,[1]UPS_SETIIPRESS!$A$2:$B$527,2,0)</f>
        <v>CENTRO QUIRÚRGICO Y ANESTESIOLOGÍA</v>
      </c>
      <c r="P120" s="31">
        <v>73</v>
      </c>
      <c r="Q120" s="31" t="s">
        <v>50</v>
      </c>
      <c r="R120" s="31" t="s">
        <v>53</v>
      </c>
      <c r="S120" s="31" t="s">
        <v>54</v>
      </c>
      <c r="T120" s="31" t="s">
        <v>54</v>
      </c>
      <c r="U120" s="31" t="s">
        <v>215</v>
      </c>
      <c r="V120" s="31" t="s">
        <v>56</v>
      </c>
      <c r="AA120" s="31">
        <v>26750</v>
      </c>
    </row>
    <row r="121" spans="1:27" ht="13.5" x14ac:dyDescent="0.25">
      <c r="A121" s="30">
        <v>46038</v>
      </c>
      <c r="B121" s="71" t="s">
        <v>372</v>
      </c>
      <c r="C121" s="31" t="s">
        <v>141</v>
      </c>
      <c r="D121" s="72">
        <v>17024</v>
      </c>
      <c r="E121" s="31">
        <v>1</v>
      </c>
      <c r="F121" s="73" t="s">
        <v>373</v>
      </c>
      <c r="G121" s="31" t="s">
        <v>60</v>
      </c>
      <c r="H121" s="31" t="s">
        <v>72</v>
      </c>
      <c r="I121" s="73" t="s">
        <v>374</v>
      </c>
      <c r="J121" s="85">
        <v>45693874</v>
      </c>
      <c r="L121" s="85">
        <v>73510777</v>
      </c>
      <c r="N121" s="74" t="s">
        <v>375</v>
      </c>
      <c r="O121" s="75" t="str">
        <f>VLOOKUP(N121,[1]UPS_SETIIPRESS!$A$2:$B$527,2,0)</f>
        <v>CENTRO QUIRÚRGICO Y ANESTESIOLOGÍA</v>
      </c>
      <c r="P121" s="31">
        <v>20</v>
      </c>
      <c r="Q121" s="31" t="s">
        <v>50</v>
      </c>
      <c r="R121" s="31" t="s">
        <v>63</v>
      </c>
      <c r="S121" s="31" t="s">
        <v>54</v>
      </c>
      <c r="T121" s="31" t="s">
        <v>54</v>
      </c>
      <c r="U121" s="31" t="s">
        <v>215</v>
      </c>
      <c r="V121" s="31" t="s">
        <v>56</v>
      </c>
      <c r="AA121" s="31">
        <v>26735</v>
      </c>
    </row>
    <row r="122" spans="1:27" ht="13.5" x14ac:dyDescent="0.25">
      <c r="A122" s="53">
        <v>46037</v>
      </c>
      <c r="B122" s="71" t="s">
        <v>372</v>
      </c>
      <c r="C122" s="31" t="s">
        <v>127</v>
      </c>
      <c r="D122" s="72">
        <v>17024</v>
      </c>
      <c r="E122" s="31">
        <v>1</v>
      </c>
      <c r="F122" s="73" t="s">
        <v>373</v>
      </c>
      <c r="G122" s="31" t="s">
        <v>60</v>
      </c>
      <c r="H122" s="31" t="s">
        <v>152</v>
      </c>
      <c r="I122" s="73" t="s">
        <v>374</v>
      </c>
      <c r="J122" s="85">
        <v>9652446</v>
      </c>
      <c r="L122" s="85">
        <v>33672520</v>
      </c>
      <c r="N122" s="74" t="s">
        <v>375</v>
      </c>
      <c r="O122" s="75" t="str">
        <f>VLOOKUP(N122,[1]UPS_SETIIPRESS!$A$2:$B$527,2,0)</f>
        <v>CENTRO QUIRÚRGICO Y ANESTESIOLOGÍA</v>
      </c>
      <c r="P122" s="31">
        <v>54</v>
      </c>
      <c r="Q122" s="31" t="s">
        <v>63</v>
      </c>
      <c r="R122" s="31" t="s">
        <v>63</v>
      </c>
      <c r="S122" s="31" t="s">
        <v>54</v>
      </c>
      <c r="T122" s="31" t="s">
        <v>54</v>
      </c>
      <c r="U122" s="31" t="s">
        <v>154</v>
      </c>
      <c r="V122" s="31" t="s">
        <v>56</v>
      </c>
      <c r="AA122" s="31">
        <v>47.564</v>
      </c>
    </row>
    <row r="123" spans="1:27" ht="13.5" x14ac:dyDescent="0.25">
      <c r="A123" s="30">
        <v>46041</v>
      </c>
      <c r="B123" s="71" t="s">
        <v>372</v>
      </c>
      <c r="C123" s="31" t="s">
        <v>50</v>
      </c>
      <c r="D123" s="72">
        <v>17024</v>
      </c>
      <c r="E123" s="31">
        <v>1</v>
      </c>
      <c r="F123" s="73" t="s">
        <v>373</v>
      </c>
      <c r="G123" s="31" t="s">
        <v>60</v>
      </c>
      <c r="H123" s="31" t="s">
        <v>216</v>
      </c>
      <c r="I123" s="73" t="s">
        <v>374</v>
      </c>
      <c r="J123" s="85">
        <v>21523144</v>
      </c>
      <c r="L123" s="85">
        <v>61807519</v>
      </c>
      <c r="N123" s="74" t="s">
        <v>375</v>
      </c>
      <c r="O123" s="75" t="str">
        <f>VLOOKUP(N123,[1]UPS_SETIIPRESS!$A$2:$B$527,2,0)</f>
        <v>CENTRO QUIRÚRGICO Y ANESTESIOLOGÍA</v>
      </c>
      <c r="P123" s="31">
        <v>18</v>
      </c>
      <c r="Q123" s="31" t="s">
        <v>50</v>
      </c>
      <c r="R123" s="31" t="s">
        <v>63</v>
      </c>
      <c r="S123" s="31" t="s">
        <v>54</v>
      </c>
      <c r="T123" s="31" t="s">
        <v>54</v>
      </c>
      <c r="U123" s="31" t="s">
        <v>64</v>
      </c>
      <c r="V123" s="31" t="s">
        <v>56</v>
      </c>
      <c r="AA123" s="31">
        <v>90.873999999999995</v>
      </c>
    </row>
    <row r="124" spans="1:27" ht="13.5" x14ac:dyDescent="0.25">
      <c r="A124" s="30">
        <v>46041</v>
      </c>
      <c r="B124" s="71" t="s">
        <v>372</v>
      </c>
      <c r="C124" s="31" t="s">
        <v>50</v>
      </c>
      <c r="D124" s="72">
        <v>17024</v>
      </c>
      <c r="E124" s="31">
        <v>1</v>
      </c>
      <c r="F124" s="73" t="s">
        <v>373</v>
      </c>
      <c r="G124" s="31" t="s">
        <v>50</v>
      </c>
      <c r="H124" s="31" t="s">
        <v>176</v>
      </c>
      <c r="I124" s="73" t="s">
        <v>374</v>
      </c>
      <c r="J124" s="85">
        <v>21523144</v>
      </c>
      <c r="L124" s="85">
        <v>2801297</v>
      </c>
      <c r="N124" s="74" t="s">
        <v>375</v>
      </c>
      <c r="O124" s="75" t="str">
        <f>VLOOKUP(N124,[1]UPS_SETIIPRESS!$A$2:$B$527,2,0)</f>
        <v>CENTRO QUIRÚRGICO Y ANESTESIOLOGÍA</v>
      </c>
      <c r="P124" s="31">
        <v>55</v>
      </c>
      <c r="Q124" s="31" t="s">
        <v>50</v>
      </c>
      <c r="R124" s="31" t="s">
        <v>58</v>
      </c>
      <c r="S124" s="31" t="s">
        <v>58</v>
      </c>
      <c r="T124" s="31" t="s">
        <v>57</v>
      </c>
      <c r="U124" s="31" t="s">
        <v>64</v>
      </c>
      <c r="V124" s="31" t="s">
        <v>56</v>
      </c>
      <c r="AA124" s="31">
        <v>90.873999999999995</v>
      </c>
    </row>
    <row r="125" spans="1:27" ht="13.5" x14ac:dyDescent="0.25">
      <c r="A125" s="30">
        <v>46041</v>
      </c>
      <c r="B125" s="71" t="s">
        <v>372</v>
      </c>
      <c r="C125" s="31" t="s">
        <v>50</v>
      </c>
      <c r="D125" s="72">
        <v>17024</v>
      </c>
      <c r="E125" s="31">
        <v>1</v>
      </c>
      <c r="F125" s="73" t="s">
        <v>373</v>
      </c>
      <c r="G125" s="31" t="s">
        <v>50</v>
      </c>
      <c r="H125" s="31" t="s">
        <v>176</v>
      </c>
      <c r="I125" s="73" t="s">
        <v>374</v>
      </c>
      <c r="J125" s="85">
        <v>21523144</v>
      </c>
      <c r="L125" s="85">
        <v>8804056</v>
      </c>
      <c r="N125" s="74" t="s">
        <v>375</v>
      </c>
      <c r="O125" s="75" t="str">
        <f>VLOOKUP(N125,[1]UPS_SETIIPRESS!$A$2:$B$527,2,0)</f>
        <v>CENTRO QUIRÚRGICO Y ANESTESIOLOGÍA</v>
      </c>
      <c r="P125" s="31">
        <v>66</v>
      </c>
      <c r="Q125" s="31" t="s">
        <v>50</v>
      </c>
      <c r="R125" s="31" t="s">
        <v>58</v>
      </c>
      <c r="S125" s="31" t="s">
        <v>54</v>
      </c>
      <c r="T125" s="31" t="s">
        <v>57</v>
      </c>
      <c r="U125" s="31" t="s">
        <v>64</v>
      </c>
      <c r="V125" s="31" t="s">
        <v>56</v>
      </c>
      <c r="AA125" s="31">
        <v>90874</v>
      </c>
    </row>
    <row r="126" spans="1:27" ht="13.5" x14ac:dyDescent="0.25">
      <c r="A126" s="30">
        <v>46041</v>
      </c>
      <c r="B126" s="71" t="s">
        <v>372</v>
      </c>
      <c r="C126" s="31" t="s">
        <v>50</v>
      </c>
      <c r="D126" s="72">
        <v>17024</v>
      </c>
      <c r="E126" s="31">
        <v>1</v>
      </c>
      <c r="F126" s="73" t="s">
        <v>373</v>
      </c>
      <c r="G126" s="31" t="s">
        <v>60</v>
      </c>
      <c r="H126" s="31" t="s">
        <v>216</v>
      </c>
      <c r="I126" s="73" t="s">
        <v>374</v>
      </c>
      <c r="J126" s="85">
        <v>21523144</v>
      </c>
      <c r="L126" s="85" t="s">
        <v>217</v>
      </c>
      <c r="N126" s="74" t="s">
        <v>375</v>
      </c>
      <c r="O126" s="75" t="str">
        <f>VLOOKUP(N126,[1]UPS_SETIIPRESS!$A$2:$B$527,2,0)</f>
        <v>CENTRO QUIRÚRGICO Y ANESTESIOLOGÍA</v>
      </c>
      <c r="P126" s="31">
        <v>59</v>
      </c>
      <c r="Q126" s="31" t="s">
        <v>63</v>
      </c>
      <c r="R126" s="31" t="s">
        <v>63</v>
      </c>
      <c r="S126" s="31" t="s">
        <v>54</v>
      </c>
      <c r="T126" s="31" t="s">
        <v>54</v>
      </c>
      <c r="U126" s="31" t="s">
        <v>64</v>
      </c>
      <c r="V126" s="31" t="s">
        <v>56</v>
      </c>
      <c r="AA126" s="31">
        <v>90874</v>
      </c>
    </row>
    <row r="127" spans="1:27" ht="13.5" x14ac:dyDescent="0.25">
      <c r="A127" s="30">
        <v>46041</v>
      </c>
      <c r="B127" s="71" t="s">
        <v>372</v>
      </c>
      <c r="C127" s="31" t="s">
        <v>59</v>
      </c>
      <c r="D127" s="72">
        <v>17024</v>
      </c>
      <c r="E127" s="31">
        <v>1</v>
      </c>
      <c r="F127" s="73" t="s">
        <v>373</v>
      </c>
      <c r="G127" s="31" t="s">
        <v>60</v>
      </c>
      <c r="H127" s="31" t="s">
        <v>218</v>
      </c>
      <c r="I127" s="73" t="s">
        <v>374</v>
      </c>
      <c r="J127" s="85">
        <v>71094795</v>
      </c>
      <c r="L127" s="85">
        <v>43328989</v>
      </c>
      <c r="N127" s="74" t="s">
        <v>375</v>
      </c>
      <c r="O127" s="75" t="str">
        <f>VLOOKUP(N127,[1]UPS_SETIIPRESS!$A$2:$B$527,2,0)</f>
        <v>CENTRO QUIRÚRGICO Y ANESTESIOLOGÍA</v>
      </c>
      <c r="P127" s="31">
        <v>73</v>
      </c>
      <c r="Q127" s="31" t="s">
        <v>50</v>
      </c>
      <c r="R127" s="31" t="s">
        <v>53</v>
      </c>
      <c r="S127" s="31" t="s">
        <v>58</v>
      </c>
      <c r="T127" s="31" t="s">
        <v>54</v>
      </c>
      <c r="U127" s="31" t="s">
        <v>126</v>
      </c>
      <c r="V127" s="31" t="s">
        <v>56</v>
      </c>
      <c r="AA127" s="31">
        <v>66982</v>
      </c>
    </row>
    <row r="128" spans="1:27" ht="13.5" x14ac:dyDescent="0.25">
      <c r="A128" s="30">
        <v>46041</v>
      </c>
      <c r="B128" s="71" t="s">
        <v>372</v>
      </c>
      <c r="C128" s="31" t="s">
        <v>67</v>
      </c>
      <c r="D128" s="72">
        <v>17024</v>
      </c>
      <c r="E128" s="31">
        <v>1</v>
      </c>
      <c r="F128" s="73" t="s">
        <v>373</v>
      </c>
      <c r="G128" s="31" t="s">
        <v>60</v>
      </c>
      <c r="H128" s="31" t="s">
        <v>218</v>
      </c>
      <c r="I128" s="73" t="s">
        <v>374</v>
      </c>
      <c r="J128" s="85">
        <v>71094795</v>
      </c>
      <c r="L128" s="85">
        <v>10106432</v>
      </c>
      <c r="N128" s="74" t="s">
        <v>375</v>
      </c>
      <c r="O128" s="75" t="str">
        <f>VLOOKUP(N128,[1]UPS_SETIIPRESS!$A$2:$B$527,2,0)</f>
        <v>CENTRO QUIRÚRGICO Y ANESTESIOLOGÍA</v>
      </c>
      <c r="P128" s="31">
        <v>71</v>
      </c>
      <c r="Q128" s="31" t="s">
        <v>50</v>
      </c>
      <c r="R128" s="31" t="s">
        <v>103</v>
      </c>
      <c r="S128" s="31" t="s">
        <v>58</v>
      </c>
      <c r="T128" s="31" t="s">
        <v>54</v>
      </c>
      <c r="U128" s="31" t="s">
        <v>126</v>
      </c>
      <c r="V128" s="31" t="s">
        <v>56</v>
      </c>
      <c r="AA128" s="31">
        <v>66982</v>
      </c>
    </row>
    <row r="129" spans="1:27" ht="13.5" x14ac:dyDescent="0.25">
      <c r="A129" s="30">
        <v>46041</v>
      </c>
      <c r="B129" s="71" t="s">
        <v>372</v>
      </c>
      <c r="C129" s="31" t="s">
        <v>59</v>
      </c>
      <c r="D129" s="72">
        <v>17024</v>
      </c>
      <c r="E129" s="31">
        <v>1</v>
      </c>
      <c r="F129" s="73" t="s">
        <v>373</v>
      </c>
      <c r="G129" s="31" t="s">
        <v>60</v>
      </c>
      <c r="H129" s="31" t="s">
        <v>162</v>
      </c>
      <c r="I129" s="73" t="s">
        <v>374</v>
      </c>
      <c r="J129" s="85">
        <v>9398424</v>
      </c>
      <c r="L129" s="85">
        <v>6068478</v>
      </c>
      <c r="N129" s="74" t="s">
        <v>375</v>
      </c>
      <c r="O129" s="75" t="str">
        <f>VLOOKUP(N129,[1]UPS_SETIIPRESS!$A$2:$B$527,2,0)</f>
        <v>CENTRO QUIRÚRGICO Y ANESTESIOLOGÍA</v>
      </c>
      <c r="P129" s="31">
        <v>82</v>
      </c>
      <c r="Q129" s="31" t="s">
        <v>63</v>
      </c>
      <c r="R129" s="31" t="s">
        <v>63</v>
      </c>
      <c r="S129" s="31" t="s">
        <v>54</v>
      </c>
      <c r="T129" s="31" t="s">
        <v>54</v>
      </c>
      <c r="U129" s="31" t="s">
        <v>219</v>
      </c>
      <c r="V129" s="31" t="s">
        <v>56</v>
      </c>
      <c r="AA129" s="31">
        <v>27447</v>
      </c>
    </row>
    <row r="130" spans="1:27" ht="13.5" x14ac:dyDescent="0.25">
      <c r="A130" s="30">
        <v>46041</v>
      </c>
      <c r="B130" s="71" t="s">
        <v>372</v>
      </c>
      <c r="C130" s="31" t="s">
        <v>67</v>
      </c>
      <c r="D130" s="72">
        <v>17024</v>
      </c>
      <c r="E130" s="31">
        <v>1</v>
      </c>
      <c r="F130" s="73" t="s">
        <v>373</v>
      </c>
      <c r="G130" s="31" t="s">
        <v>50</v>
      </c>
      <c r="H130" s="31" t="s">
        <v>221</v>
      </c>
      <c r="I130" s="73" t="s">
        <v>374</v>
      </c>
      <c r="J130" s="85">
        <v>43965076</v>
      </c>
      <c r="L130" s="85">
        <v>44750377</v>
      </c>
      <c r="N130" s="74" t="s">
        <v>375</v>
      </c>
      <c r="O130" s="75" t="str">
        <f>VLOOKUP(N130,[1]UPS_SETIIPRESS!$A$2:$B$527,2,0)</f>
        <v>CENTRO QUIRÚRGICO Y ANESTESIOLOGÍA</v>
      </c>
      <c r="P130" s="31">
        <v>38</v>
      </c>
      <c r="Q130" s="31" t="s">
        <v>50</v>
      </c>
      <c r="R130" s="31" t="s">
        <v>81</v>
      </c>
      <c r="S130" s="31" t="s">
        <v>54</v>
      </c>
      <c r="T130" s="31" t="s">
        <v>54</v>
      </c>
      <c r="U130" s="31" t="s">
        <v>222</v>
      </c>
      <c r="V130" s="31" t="s">
        <v>56</v>
      </c>
      <c r="AA130" s="31">
        <v>23600</v>
      </c>
    </row>
    <row r="131" spans="1:27" ht="13.5" x14ac:dyDescent="0.25">
      <c r="A131" s="30">
        <v>46041</v>
      </c>
      <c r="B131" s="71" t="s">
        <v>372</v>
      </c>
      <c r="C131" s="31" t="s">
        <v>100</v>
      </c>
      <c r="D131" s="72">
        <v>17024</v>
      </c>
      <c r="E131" s="31">
        <v>1</v>
      </c>
      <c r="F131" s="73" t="s">
        <v>373</v>
      </c>
      <c r="G131" s="31" t="s">
        <v>60</v>
      </c>
      <c r="H131" s="31" t="s">
        <v>51</v>
      </c>
      <c r="I131" s="73" t="s">
        <v>374</v>
      </c>
      <c r="J131" s="85">
        <v>21866455</v>
      </c>
      <c r="L131" s="85">
        <v>10364896</v>
      </c>
      <c r="N131" s="74" t="s">
        <v>375</v>
      </c>
      <c r="O131" s="75" t="str">
        <f>VLOOKUP(N131,[1]UPS_SETIIPRESS!$A$2:$B$527,2,0)</f>
        <v>CENTRO QUIRÚRGICO Y ANESTESIOLOGÍA</v>
      </c>
      <c r="P131" s="31">
        <v>63</v>
      </c>
      <c r="Q131" s="31" t="s">
        <v>63</v>
      </c>
      <c r="R131" s="31" t="s">
        <v>63</v>
      </c>
      <c r="S131" s="31" t="s">
        <v>54</v>
      </c>
      <c r="T131" s="31" t="s">
        <v>54</v>
      </c>
      <c r="U131" s="31" t="s">
        <v>223</v>
      </c>
      <c r="V131" s="31" t="s">
        <v>56</v>
      </c>
      <c r="AA131" s="31">
        <v>1330</v>
      </c>
    </row>
    <row r="132" spans="1:27" ht="13.5" x14ac:dyDescent="0.25">
      <c r="A132" s="30">
        <v>46041</v>
      </c>
      <c r="B132" s="71" t="s">
        <v>372</v>
      </c>
      <c r="C132" s="31" t="s">
        <v>93</v>
      </c>
      <c r="D132" s="72">
        <v>17024</v>
      </c>
      <c r="E132" s="31">
        <v>1</v>
      </c>
      <c r="F132" s="73" t="s">
        <v>373</v>
      </c>
      <c r="G132" s="31" t="s">
        <v>60</v>
      </c>
      <c r="H132" s="31" t="s">
        <v>137</v>
      </c>
      <c r="I132" s="73" t="s">
        <v>374</v>
      </c>
      <c r="J132" s="85">
        <v>20078680</v>
      </c>
      <c r="L132" s="85">
        <v>16759122</v>
      </c>
      <c r="N132" s="74" t="s">
        <v>375</v>
      </c>
      <c r="O132" s="75" t="str">
        <f>VLOOKUP(N132,[1]UPS_SETIIPRESS!$A$2:$B$527,2,0)</f>
        <v>CENTRO QUIRÚRGICO Y ANESTESIOLOGÍA</v>
      </c>
      <c r="P132" s="31">
        <v>68</v>
      </c>
      <c r="Q132" s="31" t="s">
        <v>50</v>
      </c>
      <c r="R132" s="31" t="s">
        <v>103</v>
      </c>
      <c r="S132" s="31" t="s">
        <v>58</v>
      </c>
      <c r="T132" s="31" t="s">
        <v>54</v>
      </c>
      <c r="U132" s="31" t="s">
        <v>157</v>
      </c>
      <c r="V132" s="31" t="s">
        <v>56</v>
      </c>
      <c r="AA132" s="31">
        <v>49565</v>
      </c>
    </row>
    <row r="133" spans="1:27" ht="13.5" x14ac:dyDescent="0.25">
      <c r="A133" s="30">
        <v>46041</v>
      </c>
      <c r="B133" s="71" t="s">
        <v>372</v>
      </c>
      <c r="C133" s="31" t="s">
        <v>97</v>
      </c>
      <c r="D133" s="72">
        <v>17024</v>
      </c>
      <c r="E133" s="31">
        <v>1</v>
      </c>
      <c r="F133" s="73" t="s">
        <v>373</v>
      </c>
      <c r="G133" s="31" t="s">
        <v>60</v>
      </c>
      <c r="H133" s="31" t="s">
        <v>159</v>
      </c>
      <c r="I133" s="73" t="s">
        <v>374</v>
      </c>
      <c r="J133" s="85">
        <v>22254408</v>
      </c>
      <c r="L133" s="85">
        <v>5203761</v>
      </c>
      <c r="N133" s="74" t="s">
        <v>375</v>
      </c>
      <c r="O133" s="75" t="str">
        <f>VLOOKUP(N133,[1]UPS_SETIIPRESS!$A$2:$B$527,2,0)</f>
        <v>CENTRO QUIRÚRGICO Y ANESTESIOLOGÍA</v>
      </c>
      <c r="P133" s="31">
        <v>59</v>
      </c>
      <c r="Q133" s="31" t="s">
        <v>63</v>
      </c>
      <c r="R133" s="31" t="s">
        <v>63</v>
      </c>
      <c r="S133" s="31" t="s">
        <v>54</v>
      </c>
      <c r="T133" s="31" t="s">
        <v>54</v>
      </c>
      <c r="U133" s="31" t="s">
        <v>109</v>
      </c>
      <c r="V133" s="31" t="s">
        <v>56</v>
      </c>
      <c r="AA133" s="31">
        <v>47562</v>
      </c>
    </row>
    <row r="134" spans="1:27" ht="13.5" x14ac:dyDescent="0.25">
      <c r="A134" s="30">
        <v>46041</v>
      </c>
      <c r="B134" s="71" t="s">
        <v>372</v>
      </c>
      <c r="C134" s="31" t="s">
        <v>100</v>
      </c>
      <c r="D134" s="72">
        <v>17024</v>
      </c>
      <c r="E134" s="31">
        <v>1</v>
      </c>
      <c r="F134" s="73" t="s">
        <v>373</v>
      </c>
      <c r="G134" s="31" t="s">
        <v>60</v>
      </c>
      <c r="H134" s="31" t="s">
        <v>110</v>
      </c>
      <c r="I134" s="73" t="s">
        <v>374</v>
      </c>
      <c r="J134" s="85">
        <v>23928859</v>
      </c>
      <c r="L134" s="85">
        <v>8978247</v>
      </c>
      <c r="N134" s="74" t="s">
        <v>375</v>
      </c>
      <c r="O134" s="75" t="str">
        <f>VLOOKUP(N134,[1]UPS_SETIIPRESS!$A$2:$B$527,2,0)</f>
        <v>CENTRO QUIRÚRGICO Y ANESTESIOLOGÍA</v>
      </c>
      <c r="P134" s="31">
        <v>61</v>
      </c>
      <c r="Q134" s="31" t="s">
        <v>63</v>
      </c>
      <c r="R134" s="31" t="s">
        <v>63</v>
      </c>
      <c r="S134" s="31" t="s">
        <v>54</v>
      </c>
      <c r="T134" s="31" t="s">
        <v>54</v>
      </c>
      <c r="U134" s="31" t="s">
        <v>109</v>
      </c>
      <c r="V134" s="31" t="s">
        <v>56</v>
      </c>
      <c r="AA134" s="31">
        <v>47562</v>
      </c>
    </row>
    <row r="135" spans="1:27" ht="13.5" x14ac:dyDescent="0.25">
      <c r="A135" s="30">
        <v>46041</v>
      </c>
      <c r="B135" s="71" t="s">
        <v>372</v>
      </c>
      <c r="C135" s="31" t="s">
        <v>141</v>
      </c>
      <c r="D135" s="72">
        <v>17024</v>
      </c>
      <c r="E135" s="31">
        <v>1</v>
      </c>
      <c r="F135" s="73" t="s">
        <v>373</v>
      </c>
      <c r="G135" s="31" t="s">
        <v>60</v>
      </c>
      <c r="H135" s="31" t="s">
        <v>110</v>
      </c>
      <c r="I135" s="73" t="s">
        <v>374</v>
      </c>
      <c r="J135" s="85">
        <v>23928859</v>
      </c>
      <c r="L135" s="85">
        <v>42240783</v>
      </c>
      <c r="N135" s="74" t="s">
        <v>375</v>
      </c>
      <c r="O135" s="75" t="str">
        <f>VLOOKUP(N135,[1]UPS_SETIIPRESS!$A$2:$B$527,2,0)</f>
        <v>CENTRO QUIRÚRGICO Y ANESTESIOLOGÍA</v>
      </c>
      <c r="P135" s="31">
        <v>77</v>
      </c>
      <c r="Q135" s="31" t="s">
        <v>50</v>
      </c>
      <c r="R135" s="31" t="s">
        <v>103</v>
      </c>
      <c r="S135" s="31" t="s">
        <v>54</v>
      </c>
      <c r="T135" s="31" t="s">
        <v>54</v>
      </c>
      <c r="U135" s="31" t="s">
        <v>109</v>
      </c>
      <c r="V135" s="31" t="s">
        <v>56</v>
      </c>
      <c r="AA135" s="31">
        <v>47562</v>
      </c>
    </row>
    <row r="136" spans="1:27" ht="13.5" x14ac:dyDescent="0.25">
      <c r="A136" s="30">
        <v>46041</v>
      </c>
      <c r="B136" s="71" t="s">
        <v>372</v>
      </c>
      <c r="C136" s="31" t="s">
        <v>59</v>
      </c>
      <c r="D136" s="72">
        <v>17024</v>
      </c>
      <c r="E136" s="31">
        <v>1</v>
      </c>
      <c r="F136" s="73" t="s">
        <v>373</v>
      </c>
      <c r="G136" s="31" t="s">
        <v>50</v>
      </c>
      <c r="H136" s="31" t="s">
        <v>78</v>
      </c>
      <c r="I136" s="73" t="s">
        <v>374</v>
      </c>
      <c r="J136" s="85">
        <v>43403659</v>
      </c>
      <c r="L136" s="85">
        <v>76250912</v>
      </c>
      <c r="N136" s="74" t="s">
        <v>375</v>
      </c>
      <c r="O136" s="75" t="str">
        <f>VLOOKUP(N136,[1]UPS_SETIIPRESS!$A$2:$B$527,2,0)</f>
        <v>CENTRO QUIRÚRGICO Y ANESTESIOLOGÍA</v>
      </c>
      <c r="P136" s="31">
        <v>28</v>
      </c>
      <c r="Q136" s="31" t="s">
        <v>50</v>
      </c>
      <c r="R136" s="31" t="s">
        <v>58</v>
      </c>
      <c r="S136" s="31" t="s">
        <v>54</v>
      </c>
      <c r="T136" s="31" t="s">
        <v>54</v>
      </c>
      <c r="U136" s="31" t="s">
        <v>80</v>
      </c>
      <c r="V136" s="31" t="s">
        <v>56</v>
      </c>
      <c r="AA136" s="31">
        <v>30520</v>
      </c>
    </row>
    <row r="137" spans="1:27" ht="13.5" x14ac:dyDescent="0.25">
      <c r="A137" s="30">
        <v>46041</v>
      </c>
      <c r="B137" s="71" t="s">
        <v>372</v>
      </c>
      <c r="C137" s="31" t="s">
        <v>67</v>
      </c>
      <c r="D137" s="72">
        <v>17024</v>
      </c>
      <c r="E137" s="31">
        <v>1</v>
      </c>
      <c r="F137" s="73" t="s">
        <v>373</v>
      </c>
      <c r="G137" s="31" t="s">
        <v>50</v>
      </c>
      <c r="H137" s="31" t="s">
        <v>78</v>
      </c>
      <c r="I137" s="73" t="s">
        <v>374</v>
      </c>
      <c r="J137" s="85">
        <v>43403659</v>
      </c>
      <c r="L137" s="85">
        <v>62128363</v>
      </c>
      <c r="N137" s="74" t="s">
        <v>375</v>
      </c>
      <c r="O137" s="75" t="str">
        <f>VLOOKUP(N137,[1]UPS_SETIIPRESS!$A$2:$B$527,2,0)</f>
        <v>CENTRO QUIRÚRGICO Y ANESTESIOLOGÍA</v>
      </c>
      <c r="P137" s="31">
        <v>19</v>
      </c>
      <c r="Q137" s="31" t="s">
        <v>50</v>
      </c>
      <c r="R137" s="31" t="s">
        <v>58</v>
      </c>
      <c r="S137" s="31" t="s">
        <v>76</v>
      </c>
      <c r="T137" s="31" t="s">
        <v>54</v>
      </c>
      <c r="U137" s="31" t="s">
        <v>80</v>
      </c>
      <c r="V137" s="31" t="s">
        <v>56</v>
      </c>
      <c r="AA137" s="31">
        <v>30520</v>
      </c>
    </row>
    <row r="138" spans="1:27" ht="13.5" x14ac:dyDescent="0.25">
      <c r="A138" s="30">
        <v>46039</v>
      </c>
      <c r="B138" s="71" t="s">
        <v>372</v>
      </c>
      <c r="C138" s="31" t="s">
        <v>49</v>
      </c>
      <c r="D138" s="72">
        <v>17024</v>
      </c>
      <c r="E138" s="31">
        <v>1</v>
      </c>
      <c r="F138" s="73" t="s">
        <v>373</v>
      </c>
      <c r="G138" s="31" t="s">
        <v>60</v>
      </c>
      <c r="H138" s="31" t="s">
        <v>142</v>
      </c>
      <c r="I138" s="73" t="s">
        <v>374</v>
      </c>
      <c r="J138" s="85">
        <v>45782157</v>
      </c>
      <c r="L138" s="85">
        <v>7817482</v>
      </c>
      <c r="N138" s="74" t="s">
        <v>375</v>
      </c>
      <c r="O138" s="75" t="str">
        <f>VLOOKUP(N138,[1]UPS_SETIIPRESS!$A$2:$B$527,2,0)</f>
        <v>CENTRO QUIRÚRGICO Y ANESTESIOLOGÍA</v>
      </c>
      <c r="P138" s="31">
        <v>83</v>
      </c>
      <c r="Q138" s="31" t="s">
        <v>50</v>
      </c>
      <c r="R138" s="31" t="s">
        <v>53</v>
      </c>
      <c r="S138" s="31" t="s">
        <v>58</v>
      </c>
      <c r="T138" s="31" t="s">
        <v>54</v>
      </c>
      <c r="U138" s="31" t="s">
        <v>109</v>
      </c>
      <c r="V138" s="31" t="s">
        <v>56</v>
      </c>
      <c r="AA138" s="31">
        <v>47562</v>
      </c>
    </row>
    <row r="139" spans="1:27" ht="13.5" x14ac:dyDescent="0.25">
      <c r="A139" s="30">
        <v>46040</v>
      </c>
      <c r="B139" s="71" t="s">
        <v>372</v>
      </c>
      <c r="C139" s="31" t="s">
        <v>49</v>
      </c>
      <c r="D139" s="72">
        <v>17024</v>
      </c>
      <c r="E139" s="31">
        <v>1</v>
      </c>
      <c r="F139" s="73" t="s">
        <v>373</v>
      </c>
      <c r="G139" s="31" t="s">
        <v>50</v>
      </c>
      <c r="H139" s="31" t="s">
        <v>105</v>
      </c>
      <c r="I139" s="73" t="s">
        <v>374</v>
      </c>
      <c r="J139" s="85">
        <v>18174396</v>
      </c>
      <c r="L139" s="85">
        <v>20697715</v>
      </c>
      <c r="N139" s="74" t="s">
        <v>375</v>
      </c>
      <c r="O139" s="75" t="str">
        <f>VLOOKUP(N139,[1]UPS_SETIIPRESS!$A$2:$B$527,2,0)</f>
        <v>CENTRO QUIRÚRGICO Y ANESTESIOLOGÍA</v>
      </c>
      <c r="P139" s="31">
        <v>85</v>
      </c>
      <c r="Q139" s="31" t="s">
        <v>63</v>
      </c>
      <c r="R139" s="31" t="s">
        <v>103</v>
      </c>
      <c r="S139" s="31" t="s">
        <v>54</v>
      </c>
      <c r="T139" s="31" t="s">
        <v>54</v>
      </c>
      <c r="U139" s="31" t="s">
        <v>227</v>
      </c>
      <c r="V139" s="31" t="s">
        <v>56</v>
      </c>
      <c r="AA139" s="31">
        <v>34257</v>
      </c>
    </row>
    <row r="140" spans="1:27" ht="13.5" x14ac:dyDescent="0.25">
      <c r="A140" s="30">
        <v>46039</v>
      </c>
      <c r="B140" s="71" t="s">
        <v>372</v>
      </c>
      <c r="C140" s="31" t="s">
        <v>50</v>
      </c>
      <c r="D140" s="72">
        <v>17024</v>
      </c>
      <c r="E140" s="31">
        <v>1</v>
      </c>
      <c r="F140" s="73" t="s">
        <v>373</v>
      </c>
      <c r="G140" s="31" t="s">
        <v>60</v>
      </c>
      <c r="H140" s="31" t="s">
        <v>228</v>
      </c>
      <c r="I140" s="73" t="s">
        <v>374</v>
      </c>
      <c r="J140" s="85">
        <v>10149432</v>
      </c>
      <c r="L140" s="85">
        <v>10149432</v>
      </c>
      <c r="N140" s="74" t="s">
        <v>375</v>
      </c>
      <c r="O140" s="75" t="str">
        <f>VLOOKUP(N140,[1]UPS_SETIIPRESS!$A$2:$B$527,2,0)</f>
        <v>CENTRO QUIRÚRGICO Y ANESTESIOLOGÍA</v>
      </c>
      <c r="P140" s="31">
        <v>79</v>
      </c>
      <c r="Q140" s="31" t="s">
        <v>63</v>
      </c>
      <c r="R140" s="31" t="s">
        <v>54</v>
      </c>
      <c r="S140" s="31" t="s">
        <v>54</v>
      </c>
      <c r="T140" s="31" t="s">
        <v>54</v>
      </c>
      <c r="U140" s="31" t="s">
        <v>229</v>
      </c>
      <c r="V140" s="31" t="s">
        <v>56</v>
      </c>
      <c r="AA140" s="31">
        <v>457400</v>
      </c>
    </row>
    <row r="141" spans="1:27" ht="13.5" x14ac:dyDescent="0.25">
      <c r="A141" s="30">
        <v>46041</v>
      </c>
      <c r="B141" s="71" t="s">
        <v>372</v>
      </c>
      <c r="C141" s="31" t="s">
        <v>49</v>
      </c>
      <c r="D141" s="72">
        <v>17024</v>
      </c>
      <c r="E141" s="31">
        <v>1</v>
      </c>
      <c r="F141" s="73" t="s">
        <v>373</v>
      </c>
      <c r="G141" s="31" t="s">
        <v>60</v>
      </c>
      <c r="H141" s="31" t="s">
        <v>152</v>
      </c>
      <c r="I141" s="73" t="s">
        <v>374</v>
      </c>
      <c r="J141" s="85">
        <v>9652446</v>
      </c>
      <c r="L141" s="85">
        <v>40126798</v>
      </c>
      <c r="N141" s="74" t="s">
        <v>375</v>
      </c>
      <c r="O141" s="75" t="str">
        <f>VLOOKUP(N141,[1]UPS_SETIIPRESS!$A$2:$B$527,2,0)</f>
        <v>CENTRO QUIRÚRGICO Y ANESTESIOLOGÍA</v>
      </c>
      <c r="P141" s="31">
        <v>46</v>
      </c>
      <c r="Q141" s="31" t="s">
        <v>63</v>
      </c>
      <c r="R141" s="31" t="s">
        <v>63</v>
      </c>
      <c r="S141" s="31" t="s">
        <v>54</v>
      </c>
      <c r="T141" s="31" t="s">
        <v>54</v>
      </c>
      <c r="U141" s="31" t="s">
        <v>230</v>
      </c>
      <c r="V141" s="31" t="s">
        <v>56</v>
      </c>
      <c r="AA141" s="31">
        <v>47956</v>
      </c>
    </row>
    <row r="142" spans="1:27" ht="13.5" x14ac:dyDescent="0.25">
      <c r="A142" s="30">
        <v>46041</v>
      </c>
      <c r="B142" s="71" t="s">
        <v>372</v>
      </c>
      <c r="C142" s="31" t="s">
        <v>127</v>
      </c>
      <c r="D142" s="72">
        <v>17024</v>
      </c>
      <c r="E142" s="31">
        <v>1</v>
      </c>
      <c r="F142" s="73" t="s">
        <v>373</v>
      </c>
      <c r="G142" s="31" t="s">
        <v>60</v>
      </c>
      <c r="H142" s="31" t="s">
        <v>152</v>
      </c>
      <c r="I142" s="73" t="s">
        <v>374</v>
      </c>
      <c r="J142" s="85">
        <v>9652447</v>
      </c>
      <c r="L142" s="85">
        <v>71148390</v>
      </c>
      <c r="N142" s="74" t="s">
        <v>375</v>
      </c>
      <c r="O142" s="75" t="str">
        <f>VLOOKUP(N142,[1]UPS_SETIIPRESS!$A$2:$B$527,2,0)</f>
        <v>CENTRO QUIRÚRGICO Y ANESTESIOLOGÍA</v>
      </c>
      <c r="P142" s="31">
        <v>18</v>
      </c>
      <c r="Q142" s="31" t="s">
        <v>63</v>
      </c>
      <c r="R142" s="31" t="s">
        <v>63</v>
      </c>
      <c r="S142" s="31" t="s">
        <v>54</v>
      </c>
      <c r="T142" s="31" t="s">
        <v>54</v>
      </c>
      <c r="U142" s="31" t="s">
        <v>232</v>
      </c>
      <c r="V142" s="31" t="s">
        <v>56</v>
      </c>
      <c r="AA142" s="31">
        <v>47956</v>
      </c>
    </row>
    <row r="143" spans="1:27" ht="13.5" x14ac:dyDescent="0.25">
      <c r="A143" s="30">
        <v>46042</v>
      </c>
      <c r="B143" s="71" t="s">
        <v>372</v>
      </c>
      <c r="C143" s="31" t="s">
        <v>50</v>
      </c>
      <c r="D143" s="72">
        <v>17024</v>
      </c>
      <c r="E143" s="31">
        <v>1</v>
      </c>
      <c r="F143" s="73" t="s">
        <v>373</v>
      </c>
      <c r="G143" s="31" t="s">
        <v>50</v>
      </c>
      <c r="H143" s="31" t="s">
        <v>176</v>
      </c>
      <c r="I143" s="73" t="s">
        <v>374</v>
      </c>
      <c r="J143" s="85">
        <v>21523144</v>
      </c>
      <c r="L143" s="85">
        <v>10882673</v>
      </c>
      <c r="N143" s="74" t="s">
        <v>375</v>
      </c>
      <c r="O143" s="75" t="str">
        <f>VLOOKUP(N143,[1]UPS_SETIIPRESS!$A$2:$B$527,2,0)</f>
        <v>CENTRO QUIRÚRGICO Y ANESTESIOLOGÍA</v>
      </c>
      <c r="P143" s="31">
        <v>49</v>
      </c>
      <c r="Q143" s="31" t="s">
        <v>50</v>
      </c>
      <c r="R143" s="31" t="s">
        <v>58</v>
      </c>
      <c r="S143" s="31" t="s">
        <v>58</v>
      </c>
      <c r="T143" s="31" t="s">
        <v>57</v>
      </c>
      <c r="U143" s="31" t="s">
        <v>64</v>
      </c>
      <c r="V143" s="31" t="s">
        <v>56</v>
      </c>
      <c r="AA143" s="31">
        <v>90874</v>
      </c>
    </row>
    <row r="144" spans="1:27" ht="13.5" x14ac:dyDescent="0.25">
      <c r="A144" s="30">
        <v>46042</v>
      </c>
      <c r="B144" s="71" t="s">
        <v>372</v>
      </c>
      <c r="C144" s="31" t="s">
        <v>50</v>
      </c>
      <c r="D144" s="72">
        <v>17024</v>
      </c>
      <c r="E144" s="31">
        <v>1</v>
      </c>
      <c r="F144" s="73" t="s">
        <v>373</v>
      </c>
      <c r="G144" s="31" t="s">
        <v>60</v>
      </c>
      <c r="H144" s="31" t="s">
        <v>233</v>
      </c>
      <c r="I144" s="73" t="s">
        <v>374</v>
      </c>
      <c r="J144" s="85">
        <v>10318518</v>
      </c>
      <c r="L144" s="85">
        <v>10318518</v>
      </c>
      <c r="N144" s="74" t="s">
        <v>375</v>
      </c>
      <c r="O144" s="75" t="str">
        <f>VLOOKUP(N144,[1]UPS_SETIIPRESS!$A$2:$B$527,2,0)</f>
        <v>CENTRO QUIRÚRGICO Y ANESTESIOLOGÍA</v>
      </c>
      <c r="P144" s="31">
        <v>74</v>
      </c>
      <c r="Q144" s="31" t="s">
        <v>63</v>
      </c>
      <c r="R144" s="31" t="s">
        <v>63</v>
      </c>
      <c r="S144" s="31" t="s">
        <v>54</v>
      </c>
      <c r="T144" s="31" t="s">
        <v>54</v>
      </c>
      <c r="U144" s="31" t="s">
        <v>126</v>
      </c>
      <c r="V144" s="31" t="s">
        <v>56</v>
      </c>
      <c r="AA144" s="31">
        <v>66982</v>
      </c>
    </row>
    <row r="145" spans="1:27" ht="13.5" x14ac:dyDescent="0.25">
      <c r="A145" s="30">
        <v>46042</v>
      </c>
      <c r="B145" s="71" t="s">
        <v>372</v>
      </c>
      <c r="C145" s="31" t="s">
        <v>50</v>
      </c>
      <c r="D145" s="72">
        <v>17024</v>
      </c>
      <c r="E145" s="31">
        <v>1</v>
      </c>
      <c r="F145" s="73" t="s">
        <v>373</v>
      </c>
      <c r="G145" s="31" t="s">
        <v>60</v>
      </c>
      <c r="H145" s="31" t="s">
        <v>233</v>
      </c>
      <c r="I145" s="73" t="s">
        <v>374</v>
      </c>
      <c r="J145" s="85">
        <v>10318518</v>
      </c>
      <c r="L145" s="85">
        <v>43964487</v>
      </c>
      <c r="N145" s="74" t="s">
        <v>375</v>
      </c>
      <c r="O145" s="75" t="str">
        <f>VLOOKUP(N145,[1]UPS_SETIIPRESS!$A$2:$B$527,2,0)</f>
        <v>CENTRO QUIRÚRGICO Y ANESTESIOLOGÍA</v>
      </c>
      <c r="P145" s="31">
        <v>65</v>
      </c>
      <c r="Q145" s="31" t="s">
        <v>50</v>
      </c>
      <c r="R145" s="31" t="s">
        <v>63</v>
      </c>
      <c r="S145" s="31" t="s">
        <v>54</v>
      </c>
      <c r="T145" s="31" t="s">
        <v>54</v>
      </c>
      <c r="U145" s="31" t="s">
        <v>126</v>
      </c>
      <c r="V145" s="31" t="s">
        <v>56</v>
      </c>
      <c r="AA145" s="31">
        <v>66982</v>
      </c>
    </row>
    <row r="146" spans="1:27" ht="13.5" x14ac:dyDescent="0.25">
      <c r="A146" s="30">
        <v>46042</v>
      </c>
      <c r="B146" s="71" t="s">
        <v>372</v>
      </c>
      <c r="C146" s="31" t="s">
        <v>234</v>
      </c>
      <c r="D146" s="72">
        <v>17024</v>
      </c>
      <c r="E146" s="31">
        <v>1</v>
      </c>
      <c r="F146" s="73" t="s">
        <v>373</v>
      </c>
      <c r="G146" s="31" t="s">
        <v>60</v>
      </c>
      <c r="H146" s="31" t="s">
        <v>170</v>
      </c>
      <c r="I146" s="73" t="s">
        <v>374</v>
      </c>
      <c r="J146" s="85">
        <v>10796086</v>
      </c>
      <c r="L146" s="85">
        <v>41590155</v>
      </c>
      <c r="N146" s="74" t="s">
        <v>375</v>
      </c>
      <c r="O146" s="75" t="str">
        <f>VLOOKUP(N146,[1]UPS_SETIIPRESS!$A$2:$B$527,2,0)</f>
        <v>CENTRO QUIRÚRGICO Y ANESTESIOLOGÍA</v>
      </c>
      <c r="P146" s="31">
        <v>44</v>
      </c>
      <c r="Q146" s="31" t="s">
        <v>63</v>
      </c>
      <c r="R146" s="31" t="s">
        <v>63</v>
      </c>
      <c r="S146" s="31" t="s">
        <v>76</v>
      </c>
      <c r="T146" s="31" t="s">
        <v>54</v>
      </c>
      <c r="U146" s="31" t="s">
        <v>235</v>
      </c>
      <c r="V146" s="31" t="s">
        <v>56</v>
      </c>
      <c r="AA146" s="31">
        <v>585.77</v>
      </c>
    </row>
    <row r="147" spans="1:27" ht="13.5" x14ac:dyDescent="0.25">
      <c r="A147" s="30">
        <v>46042</v>
      </c>
      <c r="B147" s="71" t="s">
        <v>372</v>
      </c>
      <c r="C147" s="31" t="s">
        <v>71</v>
      </c>
      <c r="D147" s="72">
        <v>17024</v>
      </c>
      <c r="E147" s="31">
        <v>1</v>
      </c>
      <c r="F147" s="73" t="s">
        <v>373</v>
      </c>
      <c r="G147" s="31" t="s">
        <v>60</v>
      </c>
      <c r="H147" s="31" t="s">
        <v>211</v>
      </c>
      <c r="I147" s="73" t="s">
        <v>374</v>
      </c>
      <c r="J147" s="85">
        <v>45693874</v>
      </c>
      <c r="L147" s="85">
        <v>8046814</v>
      </c>
      <c r="N147" s="74" t="s">
        <v>375</v>
      </c>
      <c r="O147" s="75" t="str">
        <f>VLOOKUP(N147,[1]UPS_SETIIPRESS!$A$2:$B$527,2,0)</f>
        <v>CENTRO QUIRÚRGICO Y ANESTESIOLOGÍA</v>
      </c>
      <c r="P147" s="31">
        <v>79</v>
      </c>
      <c r="Q147" s="31" t="s">
        <v>63</v>
      </c>
      <c r="R147" s="31" t="s">
        <v>63</v>
      </c>
      <c r="S147" s="31" t="s">
        <v>54</v>
      </c>
      <c r="T147" s="31" t="s">
        <v>54</v>
      </c>
      <c r="U147" s="31" t="s">
        <v>236</v>
      </c>
      <c r="V147" s="31" t="s">
        <v>56</v>
      </c>
      <c r="AA147" s="31">
        <v>24.515000000000001</v>
      </c>
    </row>
    <row r="148" spans="1:27" ht="13.5" x14ac:dyDescent="0.25">
      <c r="A148" s="30">
        <v>46042</v>
      </c>
      <c r="B148" s="71" t="s">
        <v>372</v>
      </c>
      <c r="C148" s="31" t="s">
        <v>59</v>
      </c>
      <c r="D148" s="72">
        <v>17024</v>
      </c>
      <c r="E148" s="31">
        <v>1</v>
      </c>
      <c r="F148" s="73" t="s">
        <v>373</v>
      </c>
      <c r="G148" s="31" t="s">
        <v>50</v>
      </c>
      <c r="H148" s="31" t="s">
        <v>237</v>
      </c>
      <c r="I148" s="73" t="s">
        <v>374</v>
      </c>
      <c r="J148" s="85">
        <v>9478791</v>
      </c>
      <c r="L148" s="85">
        <v>43433892</v>
      </c>
      <c r="N148" s="74" t="s">
        <v>375</v>
      </c>
      <c r="O148" s="75" t="str">
        <f>VLOOKUP(N148,[1]UPS_SETIIPRESS!$A$2:$B$527,2,0)</f>
        <v>CENTRO QUIRÚRGICO Y ANESTESIOLOGÍA</v>
      </c>
      <c r="P148" s="31">
        <v>64</v>
      </c>
      <c r="Q148" s="31" t="s">
        <v>50</v>
      </c>
      <c r="R148" s="31" t="s">
        <v>103</v>
      </c>
      <c r="S148" s="31" t="s">
        <v>58</v>
      </c>
      <c r="T148" s="31" t="s">
        <v>54</v>
      </c>
      <c r="U148" s="31" t="s">
        <v>239</v>
      </c>
      <c r="V148" s="31" t="s">
        <v>56</v>
      </c>
      <c r="AA148" s="31">
        <v>52.353999999999999</v>
      </c>
    </row>
    <row r="149" spans="1:27" ht="13.5" x14ac:dyDescent="0.25">
      <c r="A149" s="30">
        <v>46042</v>
      </c>
      <c r="B149" s="71" t="s">
        <v>372</v>
      </c>
      <c r="C149" s="31" t="s">
        <v>67</v>
      </c>
      <c r="D149" s="72">
        <v>17024</v>
      </c>
      <c r="E149" s="31">
        <v>1</v>
      </c>
      <c r="F149" s="73" t="s">
        <v>373</v>
      </c>
      <c r="G149" s="31" t="s">
        <v>60</v>
      </c>
      <c r="H149" s="31" t="s">
        <v>168</v>
      </c>
      <c r="I149" s="73" t="s">
        <v>374</v>
      </c>
      <c r="J149" s="85">
        <v>17817816</v>
      </c>
      <c r="L149" s="85">
        <v>23946270</v>
      </c>
      <c r="N149" s="74" t="s">
        <v>375</v>
      </c>
      <c r="O149" s="75" t="str">
        <f>VLOOKUP(N149,[1]UPS_SETIIPRESS!$A$2:$B$527,2,0)</f>
        <v>CENTRO QUIRÚRGICO Y ANESTESIOLOGÍA</v>
      </c>
      <c r="P149" s="31">
        <v>52</v>
      </c>
      <c r="Q149" s="31" t="s">
        <v>50</v>
      </c>
      <c r="R149" s="31" t="s">
        <v>53</v>
      </c>
      <c r="S149" s="31" t="s">
        <v>58</v>
      </c>
      <c r="T149" s="31" t="s">
        <v>54</v>
      </c>
      <c r="U149" s="31" t="s">
        <v>84</v>
      </c>
      <c r="V149" s="31" t="s">
        <v>56</v>
      </c>
      <c r="AA149" s="31">
        <v>52601</v>
      </c>
    </row>
    <row r="150" spans="1:27" ht="13.5" x14ac:dyDescent="0.25">
      <c r="A150" s="30">
        <v>46042</v>
      </c>
      <c r="B150" s="71" t="s">
        <v>372</v>
      </c>
      <c r="C150" s="31" t="s">
        <v>127</v>
      </c>
      <c r="D150" s="72">
        <v>17024</v>
      </c>
      <c r="E150" s="31">
        <v>1</v>
      </c>
      <c r="F150" s="73" t="s">
        <v>373</v>
      </c>
      <c r="G150" s="31" t="s">
        <v>60</v>
      </c>
      <c r="H150" s="31" t="s">
        <v>240</v>
      </c>
      <c r="I150" s="73" t="s">
        <v>374</v>
      </c>
      <c r="J150" s="85">
        <v>18160488</v>
      </c>
      <c r="L150" s="85">
        <v>401141</v>
      </c>
      <c r="N150" s="74" t="s">
        <v>375</v>
      </c>
      <c r="O150" s="75" t="str">
        <f>VLOOKUP(N150,[1]UPS_SETIIPRESS!$A$2:$B$527,2,0)</f>
        <v>CENTRO QUIRÚRGICO Y ANESTESIOLOGÍA</v>
      </c>
      <c r="P150" s="31">
        <v>73</v>
      </c>
      <c r="Q150" s="31" t="s">
        <v>50</v>
      </c>
      <c r="R150" s="31" t="s">
        <v>58</v>
      </c>
      <c r="S150" s="31" t="s">
        <v>54</v>
      </c>
      <c r="T150" s="31" t="s">
        <v>54</v>
      </c>
      <c r="U150" s="31" t="s">
        <v>109</v>
      </c>
      <c r="V150" s="31" t="s">
        <v>56</v>
      </c>
      <c r="AA150" s="31">
        <v>47562</v>
      </c>
    </row>
    <row r="151" spans="1:27" ht="13.5" x14ac:dyDescent="0.25">
      <c r="A151" s="30">
        <v>46043</v>
      </c>
      <c r="B151" s="71" t="s">
        <v>372</v>
      </c>
      <c r="C151" s="31" t="s">
        <v>50</v>
      </c>
      <c r="D151" s="72">
        <v>17024</v>
      </c>
      <c r="E151" s="31">
        <v>1</v>
      </c>
      <c r="F151" s="73" t="s">
        <v>373</v>
      </c>
      <c r="G151" s="31" t="s">
        <v>60</v>
      </c>
      <c r="H151" s="31" t="s">
        <v>61</v>
      </c>
      <c r="I151" s="73" t="s">
        <v>374</v>
      </c>
      <c r="J151" s="85">
        <v>21523144</v>
      </c>
      <c r="L151" s="85">
        <v>61807519</v>
      </c>
      <c r="N151" s="74" t="s">
        <v>375</v>
      </c>
      <c r="O151" s="75" t="str">
        <f>VLOOKUP(N151,[1]UPS_SETIIPRESS!$A$2:$B$527,2,0)</f>
        <v>CENTRO QUIRÚRGICO Y ANESTESIOLOGÍA</v>
      </c>
      <c r="P151" s="31">
        <v>18</v>
      </c>
      <c r="Q151" s="31" t="s">
        <v>50</v>
      </c>
      <c r="R151" s="31" t="s">
        <v>63</v>
      </c>
      <c r="S151" s="31" t="s">
        <v>54</v>
      </c>
      <c r="T151" s="31" t="s">
        <v>54</v>
      </c>
      <c r="U151" s="31" t="s">
        <v>64</v>
      </c>
      <c r="V151" s="31" t="s">
        <v>56</v>
      </c>
      <c r="AA151" s="31">
        <v>90874</v>
      </c>
    </row>
    <row r="152" spans="1:27" ht="13.5" x14ac:dyDescent="0.25">
      <c r="A152" s="30">
        <v>46043</v>
      </c>
      <c r="B152" s="71" t="s">
        <v>372</v>
      </c>
      <c r="C152" s="31" t="s">
        <v>50</v>
      </c>
      <c r="D152" s="72">
        <v>17024</v>
      </c>
      <c r="E152" s="31">
        <v>1</v>
      </c>
      <c r="F152" s="73" t="s">
        <v>373</v>
      </c>
      <c r="G152" s="31" t="s">
        <v>60</v>
      </c>
      <c r="H152" s="31" t="s">
        <v>61</v>
      </c>
      <c r="I152" s="73" t="s">
        <v>374</v>
      </c>
      <c r="J152" s="85">
        <v>21523144</v>
      </c>
      <c r="L152" s="85">
        <v>9145142</v>
      </c>
      <c r="N152" s="74" t="s">
        <v>375</v>
      </c>
      <c r="O152" s="75" t="str">
        <f>VLOOKUP(N152,[1]UPS_SETIIPRESS!$A$2:$B$527,2,0)</f>
        <v>CENTRO QUIRÚRGICO Y ANESTESIOLOGÍA</v>
      </c>
      <c r="P152" s="31">
        <v>59</v>
      </c>
      <c r="Q152" s="31" t="s">
        <v>63</v>
      </c>
      <c r="R152" s="31" t="s">
        <v>63</v>
      </c>
      <c r="S152" s="31" t="s">
        <v>54</v>
      </c>
      <c r="T152" s="31" t="s">
        <v>54</v>
      </c>
      <c r="U152" s="31" t="s">
        <v>64</v>
      </c>
      <c r="V152" s="31" t="s">
        <v>56</v>
      </c>
      <c r="AA152" s="31">
        <v>90874</v>
      </c>
    </row>
    <row r="153" spans="1:27" ht="13.5" x14ac:dyDescent="0.25">
      <c r="A153" s="30">
        <v>46043</v>
      </c>
      <c r="B153" s="71" t="s">
        <v>372</v>
      </c>
      <c r="C153" s="31" t="s">
        <v>50</v>
      </c>
      <c r="D153" s="72">
        <v>17024</v>
      </c>
      <c r="E153" s="31">
        <v>1</v>
      </c>
      <c r="F153" s="73" t="s">
        <v>373</v>
      </c>
      <c r="G153" s="31" t="s">
        <v>60</v>
      </c>
      <c r="H153" s="31" t="s">
        <v>176</v>
      </c>
      <c r="I153" s="73" t="s">
        <v>374</v>
      </c>
      <c r="J153" s="85">
        <v>21523144</v>
      </c>
      <c r="L153" s="85">
        <v>10882673</v>
      </c>
      <c r="N153" s="74" t="s">
        <v>375</v>
      </c>
      <c r="O153" s="75" t="str">
        <f>VLOOKUP(N153,[1]UPS_SETIIPRESS!$A$2:$B$527,2,0)</f>
        <v>CENTRO QUIRÚRGICO Y ANESTESIOLOGÍA</v>
      </c>
      <c r="P153" s="31">
        <v>49</v>
      </c>
      <c r="Q153" s="31" t="s">
        <v>50</v>
      </c>
      <c r="R153" s="31" t="s">
        <v>58</v>
      </c>
      <c r="S153" s="31" t="s">
        <v>58</v>
      </c>
      <c r="T153" s="31" t="s">
        <v>57</v>
      </c>
      <c r="U153" s="31" t="s">
        <v>64</v>
      </c>
      <c r="V153" s="31" t="s">
        <v>56</v>
      </c>
      <c r="AA153" s="31">
        <v>90874</v>
      </c>
    </row>
    <row r="154" spans="1:27" ht="13.5" x14ac:dyDescent="0.25">
      <c r="A154" s="30">
        <v>46043</v>
      </c>
      <c r="B154" s="71" t="s">
        <v>372</v>
      </c>
      <c r="C154" s="31" t="s">
        <v>50</v>
      </c>
      <c r="D154" s="72">
        <v>17024</v>
      </c>
      <c r="E154" s="31">
        <v>1</v>
      </c>
      <c r="F154" s="73" t="s">
        <v>373</v>
      </c>
      <c r="G154" s="31" t="s">
        <v>60</v>
      </c>
      <c r="H154" s="31" t="s">
        <v>176</v>
      </c>
      <c r="I154" s="73" t="s">
        <v>374</v>
      </c>
      <c r="J154" s="85">
        <v>21523144</v>
      </c>
      <c r="L154" s="85">
        <v>9351076</v>
      </c>
      <c r="N154" s="74" t="s">
        <v>375</v>
      </c>
      <c r="O154" s="75" t="str">
        <f>VLOOKUP(N154,[1]UPS_SETIIPRESS!$A$2:$B$527,2,0)</f>
        <v>CENTRO QUIRÚRGICO Y ANESTESIOLOGÍA</v>
      </c>
      <c r="P154" s="31">
        <v>68</v>
      </c>
      <c r="Q154" s="31" t="s">
        <v>50</v>
      </c>
      <c r="R154" s="31" t="s">
        <v>63</v>
      </c>
      <c r="S154" s="31" t="s">
        <v>54</v>
      </c>
      <c r="T154" s="31" t="s">
        <v>54</v>
      </c>
      <c r="U154" s="31" t="s">
        <v>64</v>
      </c>
      <c r="V154" s="31" t="s">
        <v>56</v>
      </c>
      <c r="AA154" s="31">
        <v>90874</v>
      </c>
    </row>
    <row r="155" spans="1:27" ht="13.5" x14ac:dyDescent="0.25">
      <c r="A155" s="30">
        <v>46043</v>
      </c>
      <c r="B155" s="71" t="s">
        <v>372</v>
      </c>
      <c r="C155" s="31" t="s">
        <v>50</v>
      </c>
      <c r="D155" s="72">
        <v>17024</v>
      </c>
      <c r="E155" s="31">
        <v>1</v>
      </c>
      <c r="F155" s="73" t="s">
        <v>373</v>
      </c>
      <c r="G155" s="31" t="s">
        <v>60</v>
      </c>
      <c r="H155" s="31" t="s">
        <v>233</v>
      </c>
      <c r="I155" s="73" t="s">
        <v>374</v>
      </c>
      <c r="J155" s="85">
        <v>10318518</v>
      </c>
      <c r="L155" s="85">
        <v>9186407</v>
      </c>
      <c r="N155" s="74" t="s">
        <v>375</v>
      </c>
      <c r="O155" s="75" t="str">
        <f>VLOOKUP(N155,[1]UPS_SETIIPRESS!$A$2:$B$527,2,0)</f>
        <v>CENTRO QUIRÚRGICO Y ANESTESIOLOGÍA</v>
      </c>
      <c r="P155" s="31">
        <v>69</v>
      </c>
      <c r="Q155" s="31" t="s">
        <v>63</v>
      </c>
      <c r="R155" s="31" t="s">
        <v>63</v>
      </c>
      <c r="S155" s="31" t="s">
        <v>54</v>
      </c>
      <c r="T155" s="31" t="s">
        <v>54</v>
      </c>
      <c r="U155" s="31" t="s">
        <v>126</v>
      </c>
      <c r="V155" s="31" t="s">
        <v>56</v>
      </c>
      <c r="AA155" s="31">
        <v>66820</v>
      </c>
    </row>
    <row r="156" spans="1:27" ht="13.5" x14ac:dyDescent="0.25">
      <c r="A156" s="30">
        <v>46043</v>
      </c>
      <c r="B156" s="71" t="s">
        <v>372</v>
      </c>
      <c r="C156" s="31" t="s">
        <v>50</v>
      </c>
      <c r="D156" s="72">
        <v>17024</v>
      </c>
      <c r="E156" s="31">
        <v>1</v>
      </c>
      <c r="F156" s="73" t="s">
        <v>373</v>
      </c>
      <c r="G156" s="31" t="s">
        <v>60</v>
      </c>
      <c r="H156" s="31" t="s">
        <v>233</v>
      </c>
      <c r="I156" s="73" t="s">
        <v>374</v>
      </c>
      <c r="J156" s="85">
        <v>10318518</v>
      </c>
      <c r="L156" s="85">
        <v>6572385</v>
      </c>
      <c r="N156" s="74" t="s">
        <v>375</v>
      </c>
      <c r="O156" s="75" t="str">
        <f>VLOOKUP(N156,[1]UPS_SETIIPRESS!$A$2:$B$527,2,0)</f>
        <v>CENTRO QUIRÚRGICO Y ANESTESIOLOGÍA</v>
      </c>
      <c r="P156" s="31">
        <v>82</v>
      </c>
      <c r="Q156" s="31" t="s">
        <v>63</v>
      </c>
      <c r="R156" s="31" t="s">
        <v>63</v>
      </c>
      <c r="S156" s="31" t="s">
        <v>54</v>
      </c>
      <c r="T156" s="31" t="s">
        <v>54</v>
      </c>
      <c r="U156" s="31" t="s">
        <v>243</v>
      </c>
      <c r="V156" s="31" t="s">
        <v>56</v>
      </c>
      <c r="AA156" s="31">
        <v>66170</v>
      </c>
    </row>
    <row r="157" spans="1:27" ht="13.5" x14ac:dyDescent="0.25">
      <c r="A157" s="30">
        <v>46043</v>
      </c>
      <c r="B157" s="71" t="s">
        <v>372</v>
      </c>
      <c r="C157" s="31" t="s">
        <v>59</v>
      </c>
      <c r="D157" s="72">
        <v>17024</v>
      </c>
      <c r="E157" s="31">
        <v>1</v>
      </c>
      <c r="F157" s="73" t="s">
        <v>373</v>
      </c>
      <c r="G157" s="31" t="s">
        <v>60</v>
      </c>
      <c r="H157" s="31" t="s">
        <v>244</v>
      </c>
      <c r="I157" s="73" t="s">
        <v>374</v>
      </c>
      <c r="J157" s="85">
        <v>45141992</v>
      </c>
      <c r="L157" s="85">
        <v>16687351</v>
      </c>
      <c r="N157" s="74" t="s">
        <v>375</v>
      </c>
      <c r="O157" s="75" t="str">
        <f>VLOOKUP(N157,[1]UPS_SETIIPRESS!$A$2:$B$527,2,0)</f>
        <v>CENTRO QUIRÚRGICO Y ANESTESIOLOGÍA</v>
      </c>
      <c r="P157" s="31">
        <v>60</v>
      </c>
      <c r="Q157" s="31" t="s">
        <v>50</v>
      </c>
      <c r="R157" s="31" t="s">
        <v>70</v>
      </c>
      <c r="S157" s="31" t="s">
        <v>58</v>
      </c>
      <c r="T157" s="31" t="s">
        <v>54</v>
      </c>
      <c r="U157" s="31" t="s">
        <v>109</v>
      </c>
      <c r="V157" s="31" t="s">
        <v>56</v>
      </c>
      <c r="AA157" s="31">
        <v>47562</v>
      </c>
    </row>
    <row r="158" spans="1:27" ht="13.5" x14ac:dyDescent="0.25">
      <c r="A158" s="30">
        <v>46043</v>
      </c>
      <c r="B158" s="71" t="s">
        <v>372</v>
      </c>
      <c r="C158" s="31" t="s">
        <v>67</v>
      </c>
      <c r="D158" s="72">
        <v>17024</v>
      </c>
      <c r="E158" s="31">
        <v>1</v>
      </c>
      <c r="F158" s="73" t="s">
        <v>373</v>
      </c>
      <c r="G158" s="31" t="s">
        <v>60</v>
      </c>
      <c r="H158" s="31" t="s">
        <v>108</v>
      </c>
      <c r="I158" s="73" t="s">
        <v>374</v>
      </c>
      <c r="J158" s="85">
        <v>25542321</v>
      </c>
      <c r="L158" s="85">
        <v>8782831</v>
      </c>
      <c r="N158" s="74" t="s">
        <v>375</v>
      </c>
      <c r="O158" s="75" t="str">
        <f>VLOOKUP(N158,[1]UPS_SETIIPRESS!$A$2:$B$527,2,0)</f>
        <v>CENTRO QUIRÚRGICO Y ANESTESIOLOGÍA</v>
      </c>
      <c r="P158" s="31">
        <v>73</v>
      </c>
      <c r="Q158" s="31" t="s">
        <v>63</v>
      </c>
      <c r="R158" s="31" t="s">
        <v>63</v>
      </c>
      <c r="S158" s="31" t="s">
        <v>54</v>
      </c>
      <c r="T158" s="31" t="s">
        <v>54</v>
      </c>
      <c r="U158" s="31" t="s">
        <v>245</v>
      </c>
      <c r="V158" s="31" t="s">
        <v>56</v>
      </c>
      <c r="AA158" s="31">
        <v>49659</v>
      </c>
    </row>
    <row r="159" spans="1:27" ht="13.5" x14ac:dyDescent="0.25">
      <c r="A159" s="30">
        <v>46043</v>
      </c>
      <c r="B159" s="71" t="s">
        <v>372</v>
      </c>
      <c r="C159" s="31" t="s">
        <v>59</v>
      </c>
      <c r="D159" s="72">
        <v>17024</v>
      </c>
      <c r="E159" s="31">
        <v>1</v>
      </c>
      <c r="F159" s="73" t="s">
        <v>373</v>
      </c>
      <c r="G159" s="31" t="s">
        <v>60</v>
      </c>
      <c r="H159" s="31" t="s">
        <v>94</v>
      </c>
      <c r="I159" s="73" t="s">
        <v>374</v>
      </c>
      <c r="J159" s="85">
        <v>9618200</v>
      </c>
      <c r="L159" s="85">
        <v>45085776</v>
      </c>
      <c r="N159" s="74" t="s">
        <v>375</v>
      </c>
      <c r="O159" s="75" t="str">
        <f>VLOOKUP(N159,[1]UPS_SETIIPRESS!$A$2:$B$527,2,0)</f>
        <v>CENTRO QUIRÚRGICO Y ANESTESIOLOGÍA</v>
      </c>
      <c r="P159" s="31">
        <v>36</v>
      </c>
      <c r="Q159" s="31" t="s">
        <v>50</v>
      </c>
      <c r="R159" s="31" t="s">
        <v>70</v>
      </c>
      <c r="S159" s="31" t="s">
        <v>54</v>
      </c>
      <c r="T159" s="31" t="s">
        <v>54</v>
      </c>
      <c r="U159" s="31" t="s">
        <v>96</v>
      </c>
      <c r="V159" s="31" t="s">
        <v>56</v>
      </c>
      <c r="AA159" s="31">
        <v>29870</v>
      </c>
    </row>
    <row r="160" spans="1:27" ht="13.5" x14ac:dyDescent="0.25">
      <c r="A160" s="30">
        <v>46043</v>
      </c>
      <c r="B160" s="71" t="s">
        <v>372</v>
      </c>
      <c r="C160" s="31" t="s">
        <v>67</v>
      </c>
      <c r="D160" s="72">
        <v>17024</v>
      </c>
      <c r="E160" s="31">
        <v>1</v>
      </c>
      <c r="F160" s="73" t="s">
        <v>373</v>
      </c>
      <c r="G160" s="31" t="s">
        <v>60</v>
      </c>
      <c r="H160" s="31" t="s">
        <v>94</v>
      </c>
      <c r="I160" s="73" t="s">
        <v>374</v>
      </c>
      <c r="J160" s="85">
        <v>9618200</v>
      </c>
      <c r="L160" s="85" t="s">
        <v>246</v>
      </c>
      <c r="N160" s="74" t="s">
        <v>375</v>
      </c>
      <c r="O160" s="75" t="str">
        <f>VLOOKUP(N160,[1]UPS_SETIIPRESS!$A$2:$B$527,2,0)</f>
        <v>CENTRO QUIRÚRGICO Y ANESTESIOLOGÍA</v>
      </c>
      <c r="P160" s="31">
        <v>31</v>
      </c>
      <c r="Q160" s="31" t="s">
        <v>50</v>
      </c>
      <c r="R160" s="31" t="s">
        <v>70</v>
      </c>
      <c r="S160" s="31" t="s">
        <v>54</v>
      </c>
      <c r="T160" s="31" t="s">
        <v>54</v>
      </c>
      <c r="U160" s="31" t="s">
        <v>247</v>
      </c>
      <c r="V160" s="31" t="s">
        <v>56</v>
      </c>
      <c r="AA160" s="31">
        <v>29870</v>
      </c>
    </row>
    <row r="161" spans="1:27" ht="13.5" x14ac:dyDescent="0.25">
      <c r="A161" s="30">
        <v>46043</v>
      </c>
      <c r="B161" s="71" t="s">
        <v>372</v>
      </c>
      <c r="C161" s="31" t="s">
        <v>69</v>
      </c>
      <c r="D161" s="72">
        <v>17024</v>
      </c>
      <c r="E161" s="31">
        <v>1</v>
      </c>
      <c r="F161" s="73" t="s">
        <v>373</v>
      </c>
      <c r="G161" s="31" t="s">
        <v>50</v>
      </c>
      <c r="H161" s="31" t="s">
        <v>98</v>
      </c>
      <c r="I161" s="73" t="s">
        <v>374</v>
      </c>
      <c r="J161" s="85">
        <v>44897100</v>
      </c>
      <c r="L161" s="85">
        <v>45397405</v>
      </c>
      <c r="N161" s="74" t="s">
        <v>375</v>
      </c>
      <c r="O161" s="75" t="str">
        <f>VLOOKUP(N161,[1]UPS_SETIIPRESS!$A$2:$B$527,2,0)</f>
        <v>CENTRO QUIRÚRGICO Y ANESTESIOLOGÍA</v>
      </c>
      <c r="P161" s="31">
        <v>38</v>
      </c>
      <c r="Q161" s="31" t="s">
        <v>50</v>
      </c>
      <c r="R161" s="31" t="s">
        <v>81</v>
      </c>
      <c r="S161" s="31" t="s">
        <v>54</v>
      </c>
      <c r="T161" s="31" t="s">
        <v>54</v>
      </c>
      <c r="U161" s="31" t="s">
        <v>77</v>
      </c>
      <c r="V161" s="31" t="s">
        <v>56</v>
      </c>
      <c r="AA161" s="31">
        <v>26600</v>
      </c>
    </row>
    <row r="162" spans="1:27" ht="13.5" x14ac:dyDescent="0.25">
      <c r="A162" s="30">
        <v>46043</v>
      </c>
      <c r="B162" s="71" t="s">
        <v>372</v>
      </c>
      <c r="C162" s="31" t="s">
        <v>59</v>
      </c>
      <c r="D162" s="72">
        <v>17024</v>
      </c>
      <c r="E162" s="31">
        <v>1</v>
      </c>
      <c r="F162" s="73" t="s">
        <v>373</v>
      </c>
      <c r="G162" s="31" t="s">
        <v>50</v>
      </c>
      <c r="H162" s="31" t="s">
        <v>248</v>
      </c>
      <c r="I162" s="73" t="s">
        <v>374</v>
      </c>
      <c r="J162" s="85">
        <v>18174346</v>
      </c>
      <c r="L162" s="85">
        <v>8570707</v>
      </c>
      <c r="N162" s="74" t="s">
        <v>375</v>
      </c>
      <c r="O162" s="75" t="str">
        <f>VLOOKUP(N162,[1]UPS_SETIIPRESS!$A$2:$B$527,2,0)</f>
        <v>CENTRO QUIRÚRGICO Y ANESTESIOLOGÍA</v>
      </c>
      <c r="P162" s="31">
        <v>84</v>
      </c>
      <c r="Q162" s="31" t="s">
        <v>50</v>
      </c>
      <c r="R162" s="31" t="s">
        <v>63</v>
      </c>
      <c r="S162" s="31" t="s">
        <v>54</v>
      </c>
      <c r="T162" s="31" t="s">
        <v>54</v>
      </c>
      <c r="U162" s="31" t="s">
        <v>107</v>
      </c>
      <c r="V162" s="31" t="s">
        <v>56</v>
      </c>
      <c r="AA162" s="31">
        <v>37247</v>
      </c>
    </row>
    <row r="163" spans="1:27" ht="13.5" x14ac:dyDescent="0.25">
      <c r="A163" s="30">
        <v>46043</v>
      </c>
      <c r="B163" s="71" t="s">
        <v>372</v>
      </c>
      <c r="C163" s="31" t="s">
        <v>59</v>
      </c>
      <c r="D163" s="72">
        <v>17024</v>
      </c>
      <c r="E163" s="31">
        <v>1</v>
      </c>
      <c r="F163" s="73" t="s">
        <v>373</v>
      </c>
      <c r="G163" s="31" t="s">
        <v>50</v>
      </c>
      <c r="H163" s="31" t="s">
        <v>78</v>
      </c>
      <c r="I163" s="73" t="s">
        <v>374</v>
      </c>
      <c r="J163" s="85">
        <v>43403659</v>
      </c>
      <c r="L163" s="85">
        <v>74480511</v>
      </c>
      <c r="N163" s="74" t="s">
        <v>375</v>
      </c>
      <c r="O163" s="75" t="str">
        <f>VLOOKUP(N163,[1]UPS_SETIIPRESS!$A$2:$B$527,2,0)</f>
        <v>CENTRO QUIRÚRGICO Y ANESTESIOLOGÍA</v>
      </c>
      <c r="P163" s="31">
        <v>26</v>
      </c>
      <c r="Q163" s="31" t="s">
        <v>50</v>
      </c>
      <c r="R163" s="31" t="s">
        <v>58</v>
      </c>
      <c r="S163" s="31" t="s">
        <v>76</v>
      </c>
      <c r="T163" s="31" t="s">
        <v>54</v>
      </c>
      <c r="U163" s="31" t="s">
        <v>80</v>
      </c>
      <c r="V163" s="31" t="s">
        <v>56</v>
      </c>
      <c r="AA163" s="31">
        <v>30520</v>
      </c>
    </row>
    <row r="164" spans="1:27" ht="13.5" x14ac:dyDescent="0.25">
      <c r="A164" s="30">
        <v>46043</v>
      </c>
      <c r="B164" s="71" t="s">
        <v>372</v>
      </c>
      <c r="C164" s="31" t="s">
        <v>67</v>
      </c>
      <c r="D164" s="72">
        <v>17024</v>
      </c>
      <c r="E164" s="31">
        <v>1</v>
      </c>
      <c r="F164" s="73" t="s">
        <v>373</v>
      </c>
      <c r="G164" s="31" t="s">
        <v>50</v>
      </c>
      <c r="H164" s="31" t="s">
        <v>249</v>
      </c>
      <c r="I164" s="73" t="s">
        <v>374</v>
      </c>
      <c r="J164" s="85">
        <v>43403659</v>
      </c>
      <c r="L164" s="85">
        <v>70718510</v>
      </c>
      <c r="N164" s="74" t="s">
        <v>375</v>
      </c>
      <c r="O164" s="75" t="str">
        <f>VLOOKUP(N164,[1]UPS_SETIIPRESS!$A$2:$B$527,2,0)</f>
        <v>CENTRO QUIRÚRGICO Y ANESTESIOLOGÍA</v>
      </c>
      <c r="P164" s="31">
        <v>18</v>
      </c>
      <c r="Q164" s="31" t="s">
        <v>50</v>
      </c>
      <c r="R164" s="31" t="s">
        <v>58</v>
      </c>
      <c r="S164" s="31" t="s">
        <v>76</v>
      </c>
      <c r="T164" s="31" t="s">
        <v>54</v>
      </c>
      <c r="U164" s="31" t="s">
        <v>80</v>
      </c>
      <c r="V164" s="31" t="s">
        <v>56</v>
      </c>
      <c r="AA164" s="31">
        <v>30520</v>
      </c>
    </row>
    <row r="165" spans="1:27" ht="13.5" x14ac:dyDescent="0.25">
      <c r="A165" s="30">
        <v>46042</v>
      </c>
      <c r="B165" s="71" t="s">
        <v>372</v>
      </c>
      <c r="C165" s="31" t="s">
        <v>127</v>
      </c>
      <c r="D165" s="72">
        <v>17024</v>
      </c>
      <c r="E165" s="31">
        <v>1</v>
      </c>
      <c r="F165" s="73" t="s">
        <v>373</v>
      </c>
      <c r="G165" s="31" t="s">
        <v>60</v>
      </c>
      <c r="H165" s="31" t="s">
        <v>193</v>
      </c>
      <c r="I165" s="73" t="s">
        <v>374</v>
      </c>
      <c r="J165" s="85">
        <v>18086988</v>
      </c>
      <c r="L165" s="85">
        <v>45768058</v>
      </c>
      <c r="N165" s="74" t="s">
        <v>375</v>
      </c>
      <c r="O165" s="75" t="str">
        <f>VLOOKUP(N165,[1]UPS_SETIIPRESS!$A$2:$B$527,2,0)</f>
        <v>CENTRO QUIRÚRGICO Y ANESTESIOLOGÍA</v>
      </c>
      <c r="P165" s="31">
        <v>36</v>
      </c>
      <c r="Q165" s="31" t="s">
        <v>50</v>
      </c>
      <c r="R165" s="31" t="s">
        <v>63</v>
      </c>
      <c r="S165" s="31" t="s">
        <v>54</v>
      </c>
      <c r="T165" s="31" t="s">
        <v>54</v>
      </c>
      <c r="U165" s="31" t="s">
        <v>251</v>
      </c>
      <c r="V165" s="31" t="s">
        <v>56</v>
      </c>
      <c r="AA165" s="31">
        <v>58120</v>
      </c>
    </row>
    <row r="166" spans="1:27" ht="13.5" x14ac:dyDescent="0.25">
      <c r="A166" s="30">
        <v>46043</v>
      </c>
      <c r="B166" s="71" t="s">
        <v>372</v>
      </c>
      <c r="C166" s="31" t="s">
        <v>127</v>
      </c>
      <c r="D166" s="72">
        <v>17024</v>
      </c>
      <c r="E166" s="31">
        <v>1</v>
      </c>
      <c r="F166" s="73" t="s">
        <v>373</v>
      </c>
      <c r="G166" s="31" t="s">
        <v>50</v>
      </c>
      <c r="H166" s="31" t="s">
        <v>252</v>
      </c>
      <c r="I166" s="73" t="s">
        <v>374</v>
      </c>
      <c r="J166" s="85">
        <v>45782157</v>
      </c>
      <c r="L166" s="85">
        <v>20064582</v>
      </c>
      <c r="N166" s="74" t="s">
        <v>375</v>
      </c>
      <c r="O166" s="75" t="str">
        <f>VLOOKUP(N166,[1]UPS_SETIIPRESS!$A$2:$B$527,2,0)</f>
        <v>CENTRO QUIRÚRGICO Y ANESTESIOLOGÍA</v>
      </c>
      <c r="P166" s="31">
        <v>4</v>
      </c>
      <c r="Q166" s="31" t="s">
        <v>50</v>
      </c>
      <c r="R166" s="31" t="s">
        <v>103</v>
      </c>
      <c r="S166" s="31" t="s">
        <v>76</v>
      </c>
      <c r="T166" s="31" t="s">
        <v>54</v>
      </c>
      <c r="U166" s="31" t="s">
        <v>113</v>
      </c>
      <c r="V166" s="31" t="s">
        <v>56</v>
      </c>
      <c r="AA166" s="31">
        <v>44970</v>
      </c>
    </row>
    <row r="167" spans="1:27" ht="13.5" x14ac:dyDescent="0.25">
      <c r="A167" s="30">
        <v>46043</v>
      </c>
      <c r="B167" s="71" t="s">
        <v>372</v>
      </c>
      <c r="C167" s="31" t="s">
        <v>127</v>
      </c>
      <c r="D167" s="72">
        <v>17024</v>
      </c>
      <c r="E167" s="31">
        <v>1</v>
      </c>
      <c r="F167" s="73" t="s">
        <v>373</v>
      </c>
      <c r="G167" s="31" t="s">
        <v>50</v>
      </c>
      <c r="H167" s="31" t="s">
        <v>252</v>
      </c>
      <c r="I167" s="73" t="s">
        <v>374</v>
      </c>
      <c r="J167" s="85">
        <v>45782157</v>
      </c>
      <c r="L167" s="85">
        <v>77209257</v>
      </c>
      <c r="N167" s="74" t="s">
        <v>375</v>
      </c>
      <c r="O167" s="75" t="str">
        <f>VLOOKUP(N167,[1]UPS_SETIIPRESS!$A$2:$B$527,2,0)</f>
        <v>CENTRO QUIRÚRGICO Y ANESTESIOLOGÍA</v>
      </c>
      <c r="P167" s="31">
        <v>22</v>
      </c>
      <c r="Q167" s="31" t="s">
        <v>50</v>
      </c>
      <c r="R167" s="31" t="s">
        <v>103</v>
      </c>
      <c r="S167" s="31" t="s">
        <v>76</v>
      </c>
      <c r="T167" s="31" t="s">
        <v>54</v>
      </c>
      <c r="U167" s="31" t="s">
        <v>113</v>
      </c>
      <c r="V167" s="31" t="s">
        <v>56</v>
      </c>
      <c r="AA167" s="31">
        <v>44970</v>
      </c>
    </row>
    <row r="168" spans="1:27" ht="13.5" x14ac:dyDescent="0.25">
      <c r="A168" s="30">
        <v>46044</v>
      </c>
      <c r="B168" s="71" t="s">
        <v>372</v>
      </c>
      <c r="C168" s="31" t="s">
        <v>59</v>
      </c>
      <c r="D168" s="72">
        <v>17024</v>
      </c>
      <c r="E168" s="31">
        <v>1</v>
      </c>
      <c r="F168" s="73" t="s">
        <v>373</v>
      </c>
      <c r="G168" s="31" t="s">
        <v>60</v>
      </c>
      <c r="H168" s="31" t="s">
        <v>187</v>
      </c>
      <c r="I168" s="73" t="s">
        <v>374</v>
      </c>
      <c r="J168" s="85">
        <v>6289238</v>
      </c>
      <c r="L168" s="85">
        <v>9584573</v>
      </c>
      <c r="N168" s="74" t="s">
        <v>375</v>
      </c>
      <c r="O168" s="75" t="str">
        <f>VLOOKUP(N168,[1]UPS_SETIIPRESS!$A$2:$B$527,2,0)</f>
        <v>CENTRO QUIRÚRGICO Y ANESTESIOLOGÍA</v>
      </c>
      <c r="P168" s="31">
        <v>90</v>
      </c>
      <c r="Q168" s="31" t="s">
        <v>50</v>
      </c>
      <c r="R168" s="31" t="s">
        <v>103</v>
      </c>
      <c r="S168" s="31" t="s">
        <v>54</v>
      </c>
      <c r="T168" s="31" t="s">
        <v>54</v>
      </c>
      <c r="U168" s="31" t="s">
        <v>253</v>
      </c>
      <c r="V168" s="31" t="s">
        <v>56</v>
      </c>
      <c r="AA168" s="31">
        <v>11406</v>
      </c>
    </row>
    <row r="169" spans="1:27" ht="13.5" x14ac:dyDescent="0.25">
      <c r="A169" s="30">
        <v>46044</v>
      </c>
      <c r="B169" s="71" t="s">
        <v>372</v>
      </c>
      <c r="C169" s="31" t="s">
        <v>67</v>
      </c>
      <c r="D169" s="72">
        <v>17024</v>
      </c>
      <c r="E169" s="31">
        <v>1</v>
      </c>
      <c r="F169" s="73" t="s">
        <v>373</v>
      </c>
      <c r="G169" s="31" t="s">
        <v>60</v>
      </c>
      <c r="H169" s="31" t="s">
        <v>187</v>
      </c>
      <c r="I169" s="73" t="s">
        <v>374</v>
      </c>
      <c r="J169" s="85">
        <v>6289238</v>
      </c>
      <c r="L169" s="85">
        <v>33576128</v>
      </c>
      <c r="N169" s="74" t="s">
        <v>375</v>
      </c>
      <c r="O169" s="75" t="str">
        <f>VLOOKUP(N169,[1]UPS_SETIIPRESS!$A$2:$B$527,2,0)</f>
        <v>CENTRO QUIRÚRGICO Y ANESTESIOLOGÍA</v>
      </c>
      <c r="P169" s="31">
        <v>67</v>
      </c>
      <c r="Q169" s="31" t="s">
        <v>63</v>
      </c>
      <c r="R169" s="31" t="s">
        <v>63</v>
      </c>
      <c r="S169" s="31" t="s">
        <v>54</v>
      </c>
      <c r="T169" s="31" t="s">
        <v>54</v>
      </c>
      <c r="U169" s="31" t="s">
        <v>253</v>
      </c>
      <c r="V169" s="31" t="s">
        <v>56</v>
      </c>
      <c r="AA169" s="31">
        <v>11.406000000000001</v>
      </c>
    </row>
    <row r="170" spans="1:27" ht="13.5" x14ac:dyDescent="0.25">
      <c r="A170" s="30">
        <v>46044</v>
      </c>
      <c r="B170" s="71" t="s">
        <v>372</v>
      </c>
      <c r="C170" s="31" t="s">
        <v>71</v>
      </c>
      <c r="D170" s="72">
        <v>17024</v>
      </c>
      <c r="E170" s="31">
        <v>1</v>
      </c>
      <c r="F170" s="73" t="s">
        <v>373</v>
      </c>
      <c r="G170" s="31" t="s">
        <v>60</v>
      </c>
      <c r="H170" s="31" t="s">
        <v>101</v>
      </c>
      <c r="I170" s="73" t="s">
        <v>374</v>
      </c>
      <c r="J170" s="85">
        <v>46041788</v>
      </c>
      <c r="L170" s="85">
        <v>9385599</v>
      </c>
      <c r="N170" s="74" t="s">
        <v>375</v>
      </c>
      <c r="O170" s="75" t="str">
        <f>VLOOKUP(N170,[1]UPS_SETIIPRESS!$A$2:$B$527,2,0)</f>
        <v>CENTRO QUIRÚRGICO Y ANESTESIOLOGÍA</v>
      </c>
      <c r="P170" s="31">
        <v>89</v>
      </c>
      <c r="Q170" s="31" t="s">
        <v>50</v>
      </c>
      <c r="R170" s="31" t="s">
        <v>53</v>
      </c>
      <c r="S170" s="31" t="s">
        <v>54</v>
      </c>
      <c r="T170" s="31" t="s">
        <v>54</v>
      </c>
      <c r="U170" s="31" t="s">
        <v>256</v>
      </c>
      <c r="V170" s="31" t="s">
        <v>56</v>
      </c>
      <c r="AA170" s="31">
        <v>27134</v>
      </c>
    </row>
    <row r="171" spans="1:27" ht="13.5" x14ac:dyDescent="0.25">
      <c r="A171" s="30">
        <v>46044</v>
      </c>
      <c r="B171" s="71" t="s">
        <v>372</v>
      </c>
      <c r="C171" s="31" t="s">
        <v>93</v>
      </c>
      <c r="D171" s="72">
        <v>17024</v>
      </c>
      <c r="E171" s="31">
        <v>1</v>
      </c>
      <c r="F171" s="73" t="s">
        <v>373</v>
      </c>
      <c r="G171" s="31" t="s">
        <v>50</v>
      </c>
      <c r="H171" s="31" t="s">
        <v>87</v>
      </c>
      <c r="I171" s="73" t="s">
        <v>374</v>
      </c>
      <c r="J171" s="85">
        <v>45125864</v>
      </c>
      <c r="L171" s="85">
        <v>19875919</v>
      </c>
      <c r="N171" s="74" t="s">
        <v>375</v>
      </c>
      <c r="O171" s="75" t="str">
        <f>VLOOKUP(N171,[1]UPS_SETIIPRESS!$A$2:$B$527,2,0)</f>
        <v>CENTRO QUIRÚRGICO Y ANESTESIOLOGÍA</v>
      </c>
      <c r="P171" s="31">
        <v>74</v>
      </c>
      <c r="Q171" s="31" t="s">
        <v>50</v>
      </c>
      <c r="R171" s="31" t="s">
        <v>53</v>
      </c>
      <c r="S171" s="31" t="s">
        <v>54</v>
      </c>
      <c r="T171" s="31" t="s">
        <v>54</v>
      </c>
      <c r="U171" s="31" t="s">
        <v>257</v>
      </c>
      <c r="V171" s="31" t="s">
        <v>56</v>
      </c>
      <c r="AA171" s="31">
        <v>22855</v>
      </c>
    </row>
    <row r="172" spans="1:27" ht="13.5" x14ac:dyDescent="0.25">
      <c r="A172" s="30">
        <v>46044</v>
      </c>
      <c r="B172" s="71" t="s">
        <v>372</v>
      </c>
      <c r="C172" s="31" t="s">
        <v>59</v>
      </c>
      <c r="D172" s="72">
        <v>17024</v>
      </c>
      <c r="E172" s="31">
        <v>1</v>
      </c>
      <c r="F172" s="73" t="s">
        <v>373</v>
      </c>
      <c r="G172" s="31" t="s">
        <v>50</v>
      </c>
      <c r="H172" s="31" t="s">
        <v>119</v>
      </c>
      <c r="I172" s="73" t="s">
        <v>374</v>
      </c>
      <c r="J172" s="85">
        <v>43267685</v>
      </c>
      <c r="L172" s="85">
        <v>8468249</v>
      </c>
      <c r="N172" s="74" t="s">
        <v>375</v>
      </c>
      <c r="O172" s="75" t="str">
        <f>VLOOKUP(N172,[1]UPS_SETIIPRESS!$A$2:$B$527,2,0)</f>
        <v>CENTRO QUIRÚRGICO Y ANESTESIOLOGÍA</v>
      </c>
      <c r="P172" s="31">
        <v>80</v>
      </c>
      <c r="Q172" s="31" t="s">
        <v>50</v>
      </c>
      <c r="R172" s="31" t="s">
        <v>63</v>
      </c>
      <c r="S172" s="31" t="s">
        <v>54</v>
      </c>
      <c r="T172" s="31" t="s">
        <v>54</v>
      </c>
      <c r="U172" s="31" t="s">
        <v>259</v>
      </c>
      <c r="V172" s="31" t="s">
        <v>56</v>
      </c>
      <c r="AA172" s="31">
        <v>54530</v>
      </c>
    </row>
    <row r="173" spans="1:27" ht="13.5" x14ac:dyDescent="0.25">
      <c r="A173" s="30">
        <v>46044</v>
      </c>
      <c r="B173" s="71" t="s">
        <v>372</v>
      </c>
      <c r="C173" s="31" t="s">
        <v>67</v>
      </c>
      <c r="D173" s="72">
        <v>17024</v>
      </c>
      <c r="E173" s="31">
        <v>1</v>
      </c>
      <c r="F173" s="73" t="s">
        <v>373</v>
      </c>
      <c r="G173" s="31" t="s">
        <v>50</v>
      </c>
      <c r="H173" s="31" t="s">
        <v>237</v>
      </c>
      <c r="I173" s="73" t="s">
        <v>374</v>
      </c>
      <c r="J173" s="85">
        <v>9978791</v>
      </c>
      <c r="L173" s="85">
        <v>44059255</v>
      </c>
      <c r="N173" s="74" t="s">
        <v>375</v>
      </c>
      <c r="O173" s="75" t="str">
        <f>VLOOKUP(N173,[1]UPS_SETIIPRESS!$A$2:$B$527,2,0)</f>
        <v>CENTRO QUIRÚRGICO Y ANESTESIOLOGÍA</v>
      </c>
      <c r="P173" s="31">
        <v>72</v>
      </c>
      <c r="Q173" s="31" t="s">
        <v>50</v>
      </c>
      <c r="R173" s="31" t="s">
        <v>63</v>
      </c>
      <c r="S173" s="31" t="s">
        <v>54</v>
      </c>
      <c r="T173" s="31" t="s">
        <v>54</v>
      </c>
      <c r="U173" s="31" t="s">
        <v>84</v>
      </c>
      <c r="V173" s="31" t="s">
        <v>56</v>
      </c>
      <c r="AA173" s="31">
        <v>52.600999999999999</v>
      </c>
    </row>
    <row r="174" spans="1:27" ht="13.5" x14ac:dyDescent="0.25">
      <c r="A174" s="30">
        <v>46043</v>
      </c>
      <c r="B174" s="71" t="s">
        <v>372</v>
      </c>
      <c r="C174" s="31" t="s">
        <v>127</v>
      </c>
      <c r="D174" s="72">
        <v>17024</v>
      </c>
      <c r="E174" s="31">
        <v>1</v>
      </c>
      <c r="F174" s="73" t="s">
        <v>373</v>
      </c>
      <c r="G174" s="31" t="s">
        <v>60</v>
      </c>
      <c r="H174" s="31" t="s">
        <v>195</v>
      </c>
      <c r="I174" s="73" t="s">
        <v>374</v>
      </c>
      <c r="J174" s="85">
        <v>32951664</v>
      </c>
      <c r="L174" s="85">
        <v>60977202</v>
      </c>
      <c r="N174" s="74" t="s">
        <v>375</v>
      </c>
      <c r="O174" s="75" t="str">
        <f>VLOOKUP(N174,[1]UPS_SETIIPRESS!$A$2:$B$527,2,0)</f>
        <v>CENTRO QUIRÚRGICO Y ANESTESIOLOGÍA</v>
      </c>
      <c r="P174" s="31">
        <v>18</v>
      </c>
      <c r="Q174" s="31" t="s">
        <v>50</v>
      </c>
      <c r="R174" s="31" t="s">
        <v>103</v>
      </c>
      <c r="S174" s="31" t="s">
        <v>76</v>
      </c>
      <c r="T174" s="31" t="s">
        <v>54</v>
      </c>
      <c r="U174" s="31" t="s">
        <v>261</v>
      </c>
      <c r="V174" s="31" t="s">
        <v>56</v>
      </c>
      <c r="AA174" s="31">
        <v>47562</v>
      </c>
    </row>
    <row r="175" spans="1:27" ht="13.5" x14ac:dyDescent="0.25">
      <c r="A175" s="30">
        <v>46045</v>
      </c>
      <c r="B175" s="71" t="s">
        <v>372</v>
      </c>
      <c r="C175" s="31" t="s">
        <v>50</v>
      </c>
      <c r="D175" s="72">
        <v>17024</v>
      </c>
      <c r="E175" s="31">
        <v>1</v>
      </c>
      <c r="F175" s="73" t="s">
        <v>373</v>
      </c>
      <c r="G175" s="31" t="s">
        <v>60</v>
      </c>
      <c r="H175" s="31" t="s">
        <v>264</v>
      </c>
      <c r="I175" s="73" t="s">
        <v>374</v>
      </c>
      <c r="J175" s="85">
        <v>71094795</v>
      </c>
      <c r="L175" s="85">
        <v>43328989</v>
      </c>
      <c r="N175" s="74" t="s">
        <v>375</v>
      </c>
      <c r="O175" s="75" t="str">
        <f>VLOOKUP(N175,[1]UPS_SETIIPRESS!$A$2:$B$527,2,0)</f>
        <v>CENTRO QUIRÚRGICO Y ANESTESIOLOGÍA</v>
      </c>
      <c r="P175" s="31">
        <v>73</v>
      </c>
      <c r="Q175" s="31" t="s">
        <v>50</v>
      </c>
      <c r="R175" s="31" t="s">
        <v>53</v>
      </c>
      <c r="S175" s="31" t="s">
        <v>58</v>
      </c>
      <c r="T175" s="31" t="s">
        <v>54</v>
      </c>
      <c r="U175" s="31" t="s">
        <v>126</v>
      </c>
      <c r="V175" s="31" t="s">
        <v>56</v>
      </c>
      <c r="AA175" s="31">
        <v>66850</v>
      </c>
    </row>
    <row r="176" spans="1:27" ht="13.5" x14ac:dyDescent="0.25">
      <c r="A176" s="30">
        <v>46045</v>
      </c>
      <c r="B176" s="71" t="s">
        <v>372</v>
      </c>
      <c r="C176" s="31" t="s">
        <v>50</v>
      </c>
      <c r="D176" s="72">
        <v>17024</v>
      </c>
      <c r="E176" s="31">
        <v>1</v>
      </c>
      <c r="F176" s="73" t="s">
        <v>373</v>
      </c>
      <c r="G176" s="31" t="s">
        <v>60</v>
      </c>
      <c r="H176" s="31" t="s">
        <v>264</v>
      </c>
      <c r="I176" s="73" t="s">
        <v>374</v>
      </c>
      <c r="J176" s="85">
        <v>71094795</v>
      </c>
      <c r="L176" s="85">
        <v>10106432</v>
      </c>
      <c r="N176" s="74" t="s">
        <v>375</v>
      </c>
      <c r="O176" s="75" t="str">
        <f>VLOOKUP(N176,[1]UPS_SETIIPRESS!$A$2:$B$527,2,0)</f>
        <v>CENTRO QUIRÚRGICO Y ANESTESIOLOGÍA</v>
      </c>
      <c r="P176" s="31">
        <v>71</v>
      </c>
      <c r="Q176" s="31" t="s">
        <v>50</v>
      </c>
      <c r="R176" s="31" t="s">
        <v>70</v>
      </c>
      <c r="S176" s="31" t="s">
        <v>58</v>
      </c>
      <c r="T176" s="31" t="s">
        <v>54</v>
      </c>
      <c r="U176" s="31" t="s">
        <v>126</v>
      </c>
      <c r="V176" s="31" t="s">
        <v>56</v>
      </c>
      <c r="AA176" s="31">
        <v>66850</v>
      </c>
    </row>
    <row r="177" spans="1:27" ht="13.5" x14ac:dyDescent="0.25">
      <c r="A177" s="30">
        <v>46045</v>
      </c>
      <c r="B177" s="71" t="s">
        <v>372</v>
      </c>
      <c r="C177" s="31" t="s">
        <v>50</v>
      </c>
      <c r="D177" s="72">
        <v>17024</v>
      </c>
      <c r="E177" s="31">
        <v>1</v>
      </c>
      <c r="F177" s="73" t="s">
        <v>373</v>
      </c>
      <c r="G177" s="31" t="s">
        <v>60</v>
      </c>
      <c r="H177" s="31" t="s">
        <v>61</v>
      </c>
      <c r="I177" s="73" t="s">
        <v>374</v>
      </c>
      <c r="J177" s="85">
        <v>21523144</v>
      </c>
      <c r="L177" s="85">
        <v>9145142</v>
      </c>
      <c r="N177" s="74" t="s">
        <v>375</v>
      </c>
      <c r="O177" s="75" t="str">
        <f>VLOOKUP(N177,[1]UPS_SETIIPRESS!$A$2:$B$527,2,0)</f>
        <v>CENTRO QUIRÚRGICO Y ANESTESIOLOGÍA</v>
      </c>
      <c r="P177" s="31">
        <v>59</v>
      </c>
      <c r="Q177" s="31" t="s">
        <v>63</v>
      </c>
      <c r="R177" s="31" t="s">
        <v>63</v>
      </c>
      <c r="S177" s="31" t="s">
        <v>54</v>
      </c>
      <c r="T177" s="31" t="s">
        <v>54</v>
      </c>
      <c r="U177" s="31" t="s">
        <v>64</v>
      </c>
      <c r="V177" s="31" t="s">
        <v>56</v>
      </c>
      <c r="AA177" s="31">
        <v>90874</v>
      </c>
    </row>
    <row r="178" spans="1:27" ht="13.5" x14ac:dyDescent="0.25">
      <c r="A178" s="30">
        <v>46045</v>
      </c>
      <c r="B178" s="71" t="s">
        <v>372</v>
      </c>
      <c r="C178" s="31" t="s">
        <v>50</v>
      </c>
      <c r="D178" s="72">
        <v>17024</v>
      </c>
      <c r="E178" s="31">
        <v>1</v>
      </c>
      <c r="F178" s="73" t="s">
        <v>373</v>
      </c>
      <c r="G178" s="31" t="s">
        <v>50</v>
      </c>
      <c r="H178" s="31" t="s">
        <v>176</v>
      </c>
      <c r="I178" s="73" t="s">
        <v>374</v>
      </c>
      <c r="J178" s="85">
        <v>21523144</v>
      </c>
      <c r="L178" s="85">
        <v>10882673</v>
      </c>
      <c r="N178" s="74" t="s">
        <v>375</v>
      </c>
      <c r="O178" s="75" t="str">
        <f>VLOOKUP(N178,[1]UPS_SETIIPRESS!$A$2:$B$527,2,0)</f>
        <v>CENTRO QUIRÚRGICO Y ANESTESIOLOGÍA</v>
      </c>
      <c r="P178" s="31">
        <v>49</v>
      </c>
      <c r="Q178" s="31" t="s">
        <v>50</v>
      </c>
      <c r="R178" s="31" t="s">
        <v>58</v>
      </c>
      <c r="S178" s="31" t="s">
        <v>58</v>
      </c>
      <c r="T178" s="31" t="s">
        <v>57</v>
      </c>
      <c r="U178" s="31" t="s">
        <v>64</v>
      </c>
      <c r="V178" s="31" t="s">
        <v>56</v>
      </c>
      <c r="AA178" s="31">
        <v>90874</v>
      </c>
    </row>
    <row r="179" spans="1:27" ht="13.5" x14ac:dyDescent="0.25">
      <c r="A179" s="30">
        <v>46045</v>
      </c>
      <c r="B179" s="71" t="s">
        <v>372</v>
      </c>
      <c r="C179" s="31" t="s">
        <v>59</v>
      </c>
      <c r="D179" s="72">
        <v>17024</v>
      </c>
      <c r="E179" s="31">
        <v>1</v>
      </c>
      <c r="F179" s="73" t="s">
        <v>373</v>
      </c>
      <c r="G179" s="31" t="s">
        <v>60</v>
      </c>
      <c r="H179" s="31" t="s">
        <v>152</v>
      </c>
      <c r="I179" s="73" t="s">
        <v>374</v>
      </c>
      <c r="J179" s="85">
        <v>9652446</v>
      </c>
      <c r="L179" s="85">
        <v>28338939</v>
      </c>
      <c r="N179" s="74" t="s">
        <v>375</v>
      </c>
      <c r="O179" s="75" t="str">
        <f>VLOOKUP(N179,[1]UPS_SETIIPRESS!$A$2:$B$527,2,0)</f>
        <v>CENTRO QUIRÚRGICO Y ANESTESIOLOGÍA</v>
      </c>
      <c r="P179" s="31">
        <v>54</v>
      </c>
      <c r="Q179" s="31" t="s">
        <v>63</v>
      </c>
      <c r="R179" s="31" t="s">
        <v>63</v>
      </c>
      <c r="S179" s="31" t="s">
        <v>54</v>
      </c>
      <c r="T179" s="31" t="s">
        <v>54</v>
      </c>
      <c r="U179" s="31" t="s">
        <v>265</v>
      </c>
      <c r="V179" s="31" t="s">
        <v>56</v>
      </c>
      <c r="AA179" s="31">
        <v>27327</v>
      </c>
    </row>
    <row r="180" spans="1:27" ht="13.5" x14ac:dyDescent="0.25">
      <c r="A180" s="30">
        <v>46045</v>
      </c>
      <c r="B180" s="71" t="s">
        <v>372</v>
      </c>
      <c r="C180" s="31" t="s">
        <v>67</v>
      </c>
      <c r="D180" s="72">
        <v>17024</v>
      </c>
      <c r="E180" s="31">
        <v>1</v>
      </c>
      <c r="F180" s="73" t="s">
        <v>373</v>
      </c>
      <c r="G180" s="31" t="s">
        <v>60</v>
      </c>
      <c r="H180" s="31" t="s">
        <v>114</v>
      </c>
      <c r="I180" s="73" t="s">
        <v>374</v>
      </c>
      <c r="J180" s="85">
        <v>18174396</v>
      </c>
      <c r="L180" s="85">
        <v>8570707</v>
      </c>
      <c r="N180" s="74" t="s">
        <v>375</v>
      </c>
      <c r="O180" s="75" t="str">
        <f>VLOOKUP(N180,[1]UPS_SETIIPRESS!$A$2:$B$527,2,0)</f>
        <v>CENTRO QUIRÚRGICO Y ANESTESIOLOGÍA</v>
      </c>
      <c r="P180" s="31">
        <v>84</v>
      </c>
      <c r="Q180" s="31" t="s">
        <v>50</v>
      </c>
      <c r="R180" s="31" t="s">
        <v>63</v>
      </c>
      <c r="S180" s="31" t="s">
        <v>63</v>
      </c>
      <c r="T180" s="31" t="s">
        <v>54</v>
      </c>
      <c r="U180" s="31" t="s">
        <v>107</v>
      </c>
      <c r="V180" s="31" t="s">
        <v>56</v>
      </c>
      <c r="AA180" s="31">
        <v>37247</v>
      </c>
    </row>
    <row r="181" spans="1:27" ht="13.5" x14ac:dyDescent="0.25">
      <c r="A181" s="30">
        <v>46045</v>
      </c>
      <c r="B181" s="71" t="s">
        <v>372</v>
      </c>
      <c r="C181" s="31" t="s">
        <v>93</v>
      </c>
      <c r="D181" s="72">
        <v>17024</v>
      </c>
      <c r="E181" s="31">
        <v>1</v>
      </c>
      <c r="F181" s="73" t="s">
        <v>373</v>
      </c>
      <c r="G181" s="31" t="s">
        <v>60</v>
      </c>
      <c r="H181" s="31" t="s">
        <v>268</v>
      </c>
      <c r="I181" s="73" t="s">
        <v>374</v>
      </c>
      <c r="J181" s="85">
        <v>46081656</v>
      </c>
      <c r="L181" s="85">
        <v>31350653</v>
      </c>
      <c r="N181" s="74" t="s">
        <v>375</v>
      </c>
      <c r="O181" s="75" t="str">
        <f>VLOOKUP(N181,[1]UPS_SETIIPRESS!$A$2:$B$527,2,0)</f>
        <v>CENTRO QUIRÚRGICO Y ANESTESIOLOGÍA</v>
      </c>
      <c r="P181" s="31">
        <v>71</v>
      </c>
      <c r="Q181" s="31" t="s">
        <v>50</v>
      </c>
      <c r="R181" s="31" t="s">
        <v>63</v>
      </c>
      <c r="S181" s="31" t="s">
        <v>54</v>
      </c>
      <c r="T181" s="31" t="s">
        <v>54</v>
      </c>
      <c r="U181" s="31" t="s">
        <v>269</v>
      </c>
      <c r="V181" s="31" t="s">
        <v>56</v>
      </c>
      <c r="AA181" s="31">
        <v>23470</v>
      </c>
    </row>
    <row r="182" spans="1:27" ht="13.5" x14ac:dyDescent="0.25">
      <c r="A182" s="30">
        <v>46045</v>
      </c>
      <c r="B182" s="71" t="s">
        <v>372</v>
      </c>
      <c r="C182" s="31" t="s">
        <v>97</v>
      </c>
      <c r="D182" s="72">
        <v>17024</v>
      </c>
      <c r="E182" s="31">
        <v>1</v>
      </c>
      <c r="F182" s="73" t="s">
        <v>373</v>
      </c>
      <c r="G182" s="31" t="s">
        <v>60</v>
      </c>
      <c r="H182" s="31" t="s">
        <v>268</v>
      </c>
      <c r="I182" s="73" t="s">
        <v>374</v>
      </c>
      <c r="J182" s="85">
        <v>46081656</v>
      </c>
      <c r="L182" s="85">
        <v>7636075</v>
      </c>
      <c r="N182" s="74" t="s">
        <v>375</v>
      </c>
      <c r="O182" s="75" t="str">
        <f>VLOOKUP(N182,[1]UPS_SETIIPRESS!$A$2:$B$527,2,0)</f>
        <v>CENTRO QUIRÚRGICO Y ANESTESIOLOGÍA</v>
      </c>
      <c r="P182" s="31">
        <v>25</v>
      </c>
      <c r="Q182" s="31" t="s">
        <v>63</v>
      </c>
      <c r="R182" s="31" t="s">
        <v>63</v>
      </c>
      <c r="S182" s="31" t="s">
        <v>54</v>
      </c>
      <c r="T182" s="31" t="s">
        <v>54</v>
      </c>
      <c r="U182" s="31" t="s">
        <v>270</v>
      </c>
      <c r="V182" s="31" t="s">
        <v>56</v>
      </c>
      <c r="AA182" s="31">
        <v>20206</v>
      </c>
    </row>
    <row r="183" spans="1:27" ht="13.5" x14ac:dyDescent="0.25">
      <c r="A183" s="30">
        <v>46045</v>
      </c>
      <c r="B183" s="71" t="s">
        <v>372</v>
      </c>
      <c r="C183" s="31" t="s">
        <v>100</v>
      </c>
      <c r="D183" s="72">
        <v>17024</v>
      </c>
      <c r="E183" s="31">
        <v>1</v>
      </c>
      <c r="F183" s="73" t="s">
        <v>373</v>
      </c>
      <c r="G183" s="31" t="s">
        <v>60</v>
      </c>
      <c r="H183" s="31" t="s">
        <v>271</v>
      </c>
      <c r="I183" s="73" t="s">
        <v>374</v>
      </c>
      <c r="J183" s="85">
        <v>47517652</v>
      </c>
      <c r="L183" s="85">
        <v>90664994</v>
      </c>
      <c r="N183" s="74" t="s">
        <v>375</v>
      </c>
      <c r="O183" s="75" t="str">
        <f>VLOOKUP(N183,[1]UPS_SETIIPRESS!$A$2:$B$527,2,0)</f>
        <v>CENTRO QUIRÚRGICO Y ANESTESIOLOGÍA</v>
      </c>
      <c r="P183" s="31">
        <v>18</v>
      </c>
      <c r="Q183" s="31" t="s">
        <v>50</v>
      </c>
      <c r="R183" s="31" t="s">
        <v>58</v>
      </c>
      <c r="S183" s="31" t="s">
        <v>54</v>
      </c>
      <c r="T183" s="31" t="s">
        <v>54</v>
      </c>
      <c r="U183" s="31" t="s">
        <v>272</v>
      </c>
      <c r="V183" s="31" t="s">
        <v>56</v>
      </c>
      <c r="AA183" s="31">
        <v>27510</v>
      </c>
    </row>
    <row r="184" spans="1:27" ht="13.5" x14ac:dyDescent="0.25">
      <c r="A184" s="30">
        <v>46045</v>
      </c>
      <c r="B184" s="71" t="s">
        <v>372</v>
      </c>
      <c r="C184" s="31" t="s">
        <v>59</v>
      </c>
      <c r="D184" s="72">
        <v>17024</v>
      </c>
      <c r="E184" s="31">
        <v>1</v>
      </c>
      <c r="F184" s="73" t="s">
        <v>373</v>
      </c>
      <c r="G184" s="31" t="s">
        <v>60</v>
      </c>
      <c r="H184" s="31" t="s">
        <v>159</v>
      </c>
      <c r="I184" s="73" t="s">
        <v>374</v>
      </c>
      <c r="J184" s="85">
        <v>22254408</v>
      </c>
      <c r="L184" s="85">
        <v>9257138</v>
      </c>
      <c r="N184" s="74" t="s">
        <v>375</v>
      </c>
      <c r="O184" s="75" t="str">
        <f>VLOOKUP(N184,[1]UPS_SETIIPRESS!$A$2:$B$527,2,0)</f>
        <v>CENTRO QUIRÚRGICO Y ANESTESIOLOGÍA</v>
      </c>
      <c r="P184" s="31">
        <v>58</v>
      </c>
      <c r="Q184" s="31" t="s">
        <v>63</v>
      </c>
      <c r="R184" s="31" t="s">
        <v>63</v>
      </c>
      <c r="S184" s="31" t="s">
        <v>54</v>
      </c>
      <c r="T184" s="31" t="s">
        <v>54</v>
      </c>
      <c r="U184" s="31" t="s">
        <v>109</v>
      </c>
      <c r="V184" s="31" t="s">
        <v>56</v>
      </c>
      <c r="AA184" s="31">
        <v>47562</v>
      </c>
    </row>
    <row r="185" spans="1:27" ht="13.5" x14ac:dyDescent="0.25">
      <c r="A185" s="30">
        <v>46045</v>
      </c>
      <c r="B185" s="71" t="s">
        <v>372</v>
      </c>
      <c r="C185" s="31" t="s">
        <v>67</v>
      </c>
      <c r="D185" s="72">
        <v>17024</v>
      </c>
      <c r="E185" s="31">
        <v>1</v>
      </c>
      <c r="F185" s="73" t="s">
        <v>373</v>
      </c>
      <c r="G185" s="31" t="s">
        <v>60</v>
      </c>
      <c r="H185" s="31" t="s">
        <v>152</v>
      </c>
      <c r="I185" s="73" t="s">
        <v>374</v>
      </c>
      <c r="J185" s="85">
        <v>9652446</v>
      </c>
      <c r="L185" s="85">
        <v>2374947</v>
      </c>
      <c r="N185" s="74" t="s">
        <v>375</v>
      </c>
      <c r="O185" s="75" t="str">
        <f>VLOOKUP(N185,[1]UPS_SETIIPRESS!$A$2:$B$527,2,0)</f>
        <v>CENTRO QUIRÚRGICO Y ANESTESIOLOGÍA</v>
      </c>
      <c r="P185" s="31">
        <v>65</v>
      </c>
      <c r="Q185" s="31" t="s">
        <v>50</v>
      </c>
      <c r="R185" s="31" t="s">
        <v>103</v>
      </c>
      <c r="S185" s="31" t="s">
        <v>58</v>
      </c>
      <c r="T185" s="31" t="s">
        <v>54</v>
      </c>
      <c r="U185" s="31" t="s">
        <v>207</v>
      </c>
      <c r="V185" s="31" t="s">
        <v>56</v>
      </c>
      <c r="AA185" s="31">
        <v>49659</v>
      </c>
    </row>
    <row r="186" spans="1:27" ht="13.5" x14ac:dyDescent="0.25">
      <c r="A186" s="30">
        <v>46044</v>
      </c>
      <c r="B186" s="71" t="s">
        <v>372</v>
      </c>
      <c r="C186" s="31" t="s">
        <v>127</v>
      </c>
      <c r="D186" s="72">
        <v>17024</v>
      </c>
      <c r="E186" s="31">
        <v>1</v>
      </c>
      <c r="F186" s="73" t="s">
        <v>373</v>
      </c>
      <c r="G186" s="31" t="s">
        <v>60</v>
      </c>
      <c r="H186" s="31" t="s">
        <v>152</v>
      </c>
      <c r="I186" s="73" t="s">
        <v>374</v>
      </c>
      <c r="J186" s="85">
        <v>9652446</v>
      </c>
      <c r="L186" s="85">
        <v>40278509</v>
      </c>
      <c r="N186" s="74" t="s">
        <v>375</v>
      </c>
      <c r="O186" s="75" t="str">
        <f>VLOOKUP(N186,[1]UPS_SETIIPRESS!$A$2:$B$527,2,0)</f>
        <v>CENTRO QUIRÚRGICO Y ANESTESIOLOGÍA</v>
      </c>
      <c r="P186" s="31">
        <v>50</v>
      </c>
      <c r="Q186" s="31" t="s">
        <v>63</v>
      </c>
      <c r="R186" s="31" t="s">
        <v>103</v>
      </c>
      <c r="S186" s="31" t="s">
        <v>76</v>
      </c>
      <c r="T186" s="31" t="s">
        <v>54</v>
      </c>
      <c r="U186" s="31" t="s">
        <v>273</v>
      </c>
      <c r="V186" s="31" t="s">
        <v>56</v>
      </c>
      <c r="AA186" s="31">
        <v>44970</v>
      </c>
    </row>
    <row r="187" spans="1:27" ht="13.5" x14ac:dyDescent="0.25">
      <c r="A187" s="30">
        <v>46044</v>
      </c>
      <c r="B187" s="71" t="s">
        <v>372</v>
      </c>
      <c r="C187" s="31" t="s">
        <v>127</v>
      </c>
      <c r="D187" s="72">
        <v>17024</v>
      </c>
      <c r="E187" s="31">
        <v>1</v>
      </c>
      <c r="F187" s="73" t="s">
        <v>373</v>
      </c>
      <c r="G187" s="31" t="s">
        <v>60</v>
      </c>
      <c r="H187" s="31" t="s">
        <v>152</v>
      </c>
      <c r="I187" s="73" t="s">
        <v>374</v>
      </c>
      <c r="J187" s="85">
        <v>9652446</v>
      </c>
      <c r="L187" s="85">
        <v>46995390</v>
      </c>
      <c r="N187" s="74" t="s">
        <v>375</v>
      </c>
      <c r="O187" s="75" t="str">
        <f>VLOOKUP(N187,[1]UPS_SETIIPRESS!$A$2:$B$527,2,0)</f>
        <v>CENTRO QUIRÚRGICO Y ANESTESIOLOGÍA</v>
      </c>
      <c r="P187" s="31">
        <v>34</v>
      </c>
      <c r="Q187" s="31" t="s">
        <v>63</v>
      </c>
      <c r="R187" s="31" t="s">
        <v>63</v>
      </c>
      <c r="S187" s="31" t="s">
        <v>54</v>
      </c>
      <c r="T187" s="31" t="s">
        <v>54</v>
      </c>
      <c r="U187" s="31" t="s">
        <v>274</v>
      </c>
      <c r="V187" s="31" t="s">
        <v>56</v>
      </c>
      <c r="AA187" s="31">
        <v>49592</v>
      </c>
    </row>
    <row r="188" spans="1:27" ht="13.5" x14ac:dyDescent="0.25">
      <c r="A188" s="30">
        <v>46045</v>
      </c>
      <c r="B188" s="71" t="s">
        <v>372</v>
      </c>
      <c r="C188" s="31" t="s">
        <v>49</v>
      </c>
      <c r="D188" s="72">
        <v>17024</v>
      </c>
      <c r="E188" s="31">
        <v>1</v>
      </c>
      <c r="F188" s="73" t="s">
        <v>373</v>
      </c>
      <c r="G188" s="31" t="s">
        <v>50</v>
      </c>
      <c r="H188" s="31" t="s">
        <v>275</v>
      </c>
      <c r="I188" s="73" t="s">
        <v>374</v>
      </c>
      <c r="J188" s="85">
        <v>42935495</v>
      </c>
      <c r="L188" s="85">
        <v>791833</v>
      </c>
      <c r="N188" s="74" t="s">
        <v>375</v>
      </c>
      <c r="O188" s="75" t="str">
        <f>VLOOKUP(N188,[1]UPS_SETIIPRESS!$A$2:$B$527,2,0)</f>
        <v>CENTRO QUIRÚRGICO Y ANESTESIOLOGÍA</v>
      </c>
      <c r="P188" s="31">
        <v>68</v>
      </c>
      <c r="Q188" s="31" t="s">
        <v>50</v>
      </c>
      <c r="R188" s="31" t="s">
        <v>53</v>
      </c>
      <c r="S188" s="31" t="s">
        <v>58</v>
      </c>
      <c r="T188" s="31" t="s">
        <v>54</v>
      </c>
      <c r="U188" s="31" t="s">
        <v>276</v>
      </c>
      <c r="V188" s="31" t="s">
        <v>56</v>
      </c>
      <c r="AA188" s="31">
        <v>49000</v>
      </c>
    </row>
    <row r="189" spans="1:27" ht="13.5" x14ac:dyDescent="0.25">
      <c r="A189" s="30">
        <v>46045</v>
      </c>
      <c r="B189" s="71" t="s">
        <v>372</v>
      </c>
      <c r="C189" s="31" t="s">
        <v>127</v>
      </c>
      <c r="D189" s="72">
        <v>17024</v>
      </c>
      <c r="E189" s="31">
        <v>1</v>
      </c>
      <c r="F189" s="73" t="s">
        <v>373</v>
      </c>
      <c r="G189" s="31" t="s">
        <v>60</v>
      </c>
      <c r="H189" s="31" t="s">
        <v>170</v>
      </c>
      <c r="I189" s="73" t="s">
        <v>374</v>
      </c>
      <c r="J189" s="85">
        <v>10796086</v>
      </c>
      <c r="L189" s="85">
        <v>72112972</v>
      </c>
      <c r="N189" s="74" t="s">
        <v>375</v>
      </c>
      <c r="O189" s="75" t="str">
        <f>VLOOKUP(N189,[1]UPS_SETIIPRESS!$A$2:$B$527,2,0)</f>
        <v>CENTRO QUIRÚRGICO Y ANESTESIOLOGÍA</v>
      </c>
      <c r="P189" s="31">
        <v>27</v>
      </c>
      <c r="Q189" s="31" t="s">
        <v>63</v>
      </c>
      <c r="R189" s="31" t="s">
        <v>63</v>
      </c>
      <c r="S189" s="31" t="s">
        <v>54</v>
      </c>
      <c r="T189" s="31" t="s">
        <v>54</v>
      </c>
      <c r="U189" s="31" t="s">
        <v>277</v>
      </c>
      <c r="V189" s="31" t="s">
        <v>56</v>
      </c>
      <c r="AA189" s="31">
        <v>59514</v>
      </c>
    </row>
    <row r="190" spans="1:27" ht="13.5" x14ac:dyDescent="0.25">
      <c r="A190" s="30">
        <v>46046</v>
      </c>
      <c r="B190" s="71" t="s">
        <v>372</v>
      </c>
      <c r="C190" s="31" t="s">
        <v>59</v>
      </c>
      <c r="D190" s="72">
        <v>17024</v>
      </c>
      <c r="E190" s="31">
        <v>1</v>
      </c>
      <c r="F190" s="73" t="s">
        <v>373</v>
      </c>
      <c r="G190" s="31" t="s">
        <v>60</v>
      </c>
      <c r="H190" s="31" t="s">
        <v>195</v>
      </c>
      <c r="I190" s="73" t="s">
        <v>374</v>
      </c>
      <c r="J190" s="85">
        <v>32951664</v>
      </c>
      <c r="L190" s="85">
        <v>73832251</v>
      </c>
      <c r="N190" s="74" t="s">
        <v>375</v>
      </c>
      <c r="O190" s="75" t="str">
        <f>VLOOKUP(N190,[1]UPS_SETIIPRESS!$A$2:$B$527,2,0)</f>
        <v>CENTRO QUIRÚRGICO Y ANESTESIOLOGÍA</v>
      </c>
      <c r="P190" s="31">
        <v>19</v>
      </c>
      <c r="Q190" s="31" t="s">
        <v>50</v>
      </c>
      <c r="R190" s="31" t="s">
        <v>58</v>
      </c>
      <c r="S190" s="31" t="s">
        <v>76</v>
      </c>
      <c r="T190" s="31" t="s">
        <v>54</v>
      </c>
      <c r="U190" s="31" t="s">
        <v>210</v>
      </c>
      <c r="V190" s="31" t="s">
        <v>56</v>
      </c>
      <c r="AA190" s="31">
        <v>49659</v>
      </c>
    </row>
    <row r="191" spans="1:27" ht="13.5" x14ac:dyDescent="0.25">
      <c r="A191" s="30">
        <v>46046</v>
      </c>
      <c r="B191" s="71" t="s">
        <v>372</v>
      </c>
      <c r="C191" s="31" t="s">
        <v>59</v>
      </c>
      <c r="D191" s="72">
        <v>17024</v>
      </c>
      <c r="E191" s="31">
        <v>1</v>
      </c>
      <c r="F191" s="73" t="s">
        <v>373</v>
      </c>
      <c r="G191" s="31" t="s">
        <v>60</v>
      </c>
      <c r="H191" s="31" t="s">
        <v>278</v>
      </c>
      <c r="I191" s="73" t="s">
        <v>374</v>
      </c>
      <c r="J191" s="85">
        <v>46648865</v>
      </c>
      <c r="L191" s="85">
        <v>40065935</v>
      </c>
      <c r="N191" s="74" t="s">
        <v>375</v>
      </c>
      <c r="O191" s="75" t="str">
        <f>VLOOKUP(N191,[1]UPS_SETIIPRESS!$A$2:$B$527,2,0)</f>
        <v>CENTRO QUIRÚRGICO Y ANESTESIOLOGÍA</v>
      </c>
      <c r="P191" s="31">
        <v>48</v>
      </c>
      <c r="Q191" s="31" t="s">
        <v>63</v>
      </c>
      <c r="R191" s="31" t="s">
        <v>103</v>
      </c>
      <c r="S191" s="31" t="s">
        <v>76</v>
      </c>
      <c r="T191" s="31" t="s">
        <v>54</v>
      </c>
      <c r="U191" s="31" t="s">
        <v>280</v>
      </c>
      <c r="V191" s="31" t="s">
        <v>56</v>
      </c>
      <c r="AA191" s="31">
        <v>21550</v>
      </c>
    </row>
    <row r="192" spans="1:27" ht="13.5" x14ac:dyDescent="0.25">
      <c r="A192" s="30">
        <v>46046</v>
      </c>
      <c r="B192" s="71" t="s">
        <v>372</v>
      </c>
      <c r="C192" s="31" t="s">
        <v>67</v>
      </c>
      <c r="D192" s="72">
        <v>17024</v>
      </c>
      <c r="E192" s="31">
        <v>1</v>
      </c>
      <c r="F192" s="73" t="s">
        <v>373</v>
      </c>
      <c r="G192" s="31" t="s">
        <v>60</v>
      </c>
      <c r="H192" s="31" t="s">
        <v>278</v>
      </c>
      <c r="I192" s="73" t="s">
        <v>374</v>
      </c>
      <c r="J192" s="85">
        <v>46648865</v>
      </c>
      <c r="L192" s="85">
        <v>118360</v>
      </c>
      <c r="N192" s="74" t="s">
        <v>375</v>
      </c>
      <c r="O192" s="75" t="str">
        <f>VLOOKUP(N192,[1]UPS_SETIIPRESS!$A$2:$B$527,2,0)</f>
        <v>CENTRO QUIRÚRGICO Y ANESTESIOLOGÍA</v>
      </c>
      <c r="P192" s="31">
        <v>66</v>
      </c>
      <c r="Q192" s="31" t="s">
        <v>63</v>
      </c>
      <c r="R192" s="31" t="s">
        <v>63</v>
      </c>
      <c r="S192" s="31" t="s">
        <v>54</v>
      </c>
      <c r="T192" s="31" t="s">
        <v>54</v>
      </c>
      <c r="U192" s="31" t="s">
        <v>281</v>
      </c>
      <c r="V192" s="31" t="s">
        <v>56</v>
      </c>
      <c r="AA192" s="31">
        <v>38500</v>
      </c>
    </row>
    <row r="193" spans="1:27" ht="13.5" x14ac:dyDescent="0.25">
      <c r="A193" s="30">
        <v>46048</v>
      </c>
      <c r="B193" s="71" t="s">
        <v>372</v>
      </c>
      <c r="C193" s="31" t="s">
        <v>59</v>
      </c>
      <c r="D193" s="72">
        <v>17024</v>
      </c>
      <c r="E193" s="31">
        <v>1</v>
      </c>
      <c r="F193" s="73" t="s">
        <v>373</v>
      </c>
      <c r="G193" s="31" t="s">
        <v>60</v>
      </c>
      <c r="H193" s="31" t="s">
        <v>228</v>
      </c>
      <c r="I193" s="73" t="s">
        <v>374</v>
      </c>
      <c r="J193" s="85">
        <v>10149432</v>
      </c>
      <c r="L193" s="85">
        <v>21542154</v>
      </c>
      <c r="N193" s="74" t="s">
        <v>375</v>
      </c>
      <c r="O193" s="75" t="str">
        <f>VLOOKUP(N193,[1]UPS_SETIIPRESS!$A$2:$B$527,2,0)</f>
        <v>CENTRO QUIRÚRGICO Y ANESTESIOLOGÍA</v>
      </c>
      <c r="P193" s="31">
        <v>76</v>
      </c>
      <c r="Q193" s="31" t="s">
        <v>50</v>
      </c>
      <c r="R193" s="31" t="s">
        <v>70</v>
      </c>
      <c r="S193" s="31" t="s">
        <v>58</v>
      </c>
      <c r="T193" s="31" t="s">
        <v>54</v>
      </c>
      <c r="U193" s="31" t="s">
        <v>282</v>
      </c>
      <c r="V193" s="31" t="s">
        <v>56</v>
      </c>
      <c r="AA193" s="31">
        <v>44140</v>
      </c>
    </row>
    <row r="194" spans="1:27" ht="13.5" x14ac:dyDescent="0.25">
      <c r="A194" s="30">
        <v>46048</v>
      </c>
      <c r="B194" s="71" t="s">
        <v>372</v>
      </c>
      <c r="C194" s="31" t="s">
        <v>67</v>
      </c>
      <c r="D194" s="72">
        <v>17024</v>
      </c>
      <c r="E194" s="31">
        <v>1</v>
      </c>
      <c r="F194" s="73" t="s">
        <v>373</v>
      </c>
      <c r="G194" s="31" t="s">
        <v>60</v>
      </c>
      <c r="H194" s="31" t="s">
        <v>108</v>
      </c>
      <c r="I194" s="73" t="s">
        <v>374</v>
      </c>
      <c r="J194" s="85">
        <v>25542321</v>
      </c>
      <c r="L194" s="85">
        <v>8149911</v>
      </c>
      <c r="N194" s="74" t="s">
        <v>375</v>
      </c>
      <c r="O194" s="75" t="str">
        <f>VLOOKUP(N194,[1]UPS_SETIIPRESS!$A$2:$B$527,2,0)</f>
        <v>CENTRO QUIRÚRGICO Y ANESTESIOLOGÍA</v>
      </c>
      <c r="P194" s="31">
        <v>68</v>
      </c>
      <c r="Q194" s="31" t="s">
        <v>50</v>
      </c>
      <c r="R194" s="31" t="s">
        <v>66</v>
      </c>
      <c r="S194" s="31" t="s">
        <v>58</v>
      </c>
      <c r="T194" s="31" t="s">
        <v>54</v>
      </c>
      <c r="U194" s="31" t="s">
        <v>210</v>
      </c>
      <c r="V194" s="31" t="s">
        <v>56</v>
      </c>
      <c r="AA194" s="31">
        <v>49659</v>
      </c>
    </row>
    <row r="195" spans="1:27" ht="13.5" x14ac:dyDescent="0.25">
      <c r="A195" s="30">
        <v>46048</v>
      </c>
      <c r="B195" s="71" t="s">
        <v>372</v>
      </c>
      <c r="C195" s="31" t="s">
        <v>283</v>
      </c>
      <c r="D195" s="72">
        <v>17024</v>
      </c>
      <c r="E195" s="31">
        <v>1</v>
      </c>
      <c r="F195" s="73" t="s">
        <v>373</v>
      </c>
      <c r="G195" s="31" t="s">
        <v>50</v>
      </c>
      <c r="H195" s="31" t="s">
        <v>284</v>
      </c>
      <c r="I195" s="73" t="s">
        <v>374</v>
      </c>
      <c r="J195" s="85">
        <v>18160760</v>
      </c>
      <c r="L195" s="85">
        <v>324772450</v>
      </c>
      <c r="N195" s="74" t="s">
        <v>375</v>
      </c>
      <c r="O195" s="75" t="str">
        <f>VLOOKUP(N195,[1]UPS_SETIIPRESS!$A$2:$B$527,2,0)</f>
        <v>CENTRO QUIRÚRGICO Y ANESTESIOLOGÍA</v>
      </c>
      <c r="P195" s="31">
        <v>22</v>
      </c>
      <c r="Q195" s="31" t="s">
        <v>63</v>
      </c>
      <c r="R195" s="31" t="s">
        <v>63</v>
      </c>
      <c r="S195" s="31" t="s">
        <v>54</v>
      </c>
      <c r="T195" s="31" t="s">
        <v>54</v>
      </c>
      <c r="U195" s="31" t="s">
        <v>109</v>
      </c>
      <c r="V195" s="31" t="s">
        <v>56</v>
      </c>
      <c r="AA195" s="31">
        <v>47957</v>
      </c>
    </row>
    <row r="196" spans="1:27" ht="13.5" x14ac:dyDescent="0.25">
      <c r="A196" s="30">
        <v>46048</v>
      </c>
      <c r="B196" s="71" t="s">
        <v>372</v>
      </c>
      <c r="C196" s="31" t="s">
        <v>59</v>
      </c>
      <c r="D196" s="72">
        <v>17024</v>
      </c>
      <c r="E196" s="31">
        <v>1</v>
      </c>
      <c r="F196" s="73" t="s">
        <v>373</v>
      </c>
      <c r="G196" s="31" t="s">
        <v>50</v>
      </c>
      <c r="H196" s="31" t="s">
        <v>78</v>
      </c>
      <c r="I196" s="73" t="s">
        <v>374</v>
      </c>
      <c r="J196" s="85">
        <v>43403659</v>
      </c>
      <c r="L196" s="85">
        <v>75358453</v>
      </c>
      <c r="N196" s="74" t="s">
        <v>375</v>
      </c>
      <c r="O196" s="75" t="str">
        <f>VLOOKUP(N196,[1]UPS_SETIIPRESS!$A$2:$B$527,2,0)</f>
        <v>CENTRO QUIRÚRGICO Y ANESTESIOLOGÍA</v>
      </c>
      <c r="P196" s="31">
        <v>20</v>
      </c>
      <c r="Q196" s="31" t="s">
        <v>50</v>
      </c>
      <c r="R196" s="31" t="s">
        <v>60</v>
      </c>
      <c r="S196" s="31" t="s">
        <v>76</v>
      </c>
      <c r="T196" s="31" t="s">
        <v>54</v>
      </c>
      <c r="U196" s="31" t="s">
        <v>286</v>
      </c>
      <c r="V196" s="31" t="s">
        <v>56</v>
      </c>
      <c r="AA196" s="31">
        <v>30520</v>
      </c>
    </row>
    <row r="197" spans="1:27" ht="13.5" x14ac:dyDescent="0.25">
      <c r="A197" s="30">
        <v>46048</v>
      </c>
      <c r="B197" s="71" t="s">
        <v>372</v>
      </c>
      <c r="C197" s="31" t="s">
        <v>67</v>
      </c>
      <c r="D197" s="72">
        <v>17024</v>
      </c>
      <c r="E197" s="31">
        <v>1</v>
      </c>
      <c r="F197" s="73" t="s">
        <v>373</v>
      </c>
      <c r="G197" s="31" t="s">
        <v>50</v>
      </c>
      <c r="H197" s="31" t="s">
        <v>78</v>
      </c>
      <c r="I197" s="73" t="s">
        <v>374</v>
      </c>
      <c r="J197" s="85">
        <v>43403659</v>
      </c>
      <c r="L197" s="85">
        <v>7300599</v>
      </c>
      <c r="N197" s="74" t="s">
        <v>375</v>
      </c>
      <c r="O197" s="75" t="str">
        <f>VLOOKUP(N197,[1]UPS_SETIIPRESS!$A$2:$B$527,2,0)</f>
        <v>CENTRO QUIRÚRGICO Y ANESTESIOLOGÍA</v>
      </c>
      <c r="P197" s="31">
        <v>73</v>
      </c>
      <c r="Q197" s="31" t="s">
        <v>50</v>
      </c>
      <c r="R197" s="31" t="s">
        <v>63</v>
      </c>
      <c r="S197" s="31" t="s">
        <v>54</v>
      </c>
      <c r="T197" s="31" t="s">
        <v>54</v>
      </c>
      <c r="U197" s="31" t="s">
        <v>80</v>
      </c>
      <c r="V197" s="31" t="s">
        <v>56</v>
      </c>
      <c r="AA197" s="31">
        <v>30520</v>
      </c>
    </row>
    <row r="198" spans="1:27" ht="13.5" x14ac:dyDescent="0.25">
      <c r="A198" s="30">
        <v>46048</v>
      </c>
      <c r="B198" s="71" t="s">
        <v>372</v>
      </c>
      <c r="C198" s="31" t="s">
        <v>59</v>
      </c>
      <c r="D198" s="72">
        <v>17024</v>
      </c>
      <c r="E198" s="31">
        <v>1</v>
      </c>
      <c r="F198" s="73" t="s">
        <v>373</v>
      </c>
      <c r="G198" s="31" t="s">
        <v>60</v>
      </c>
      <c r="H198" s="31" t="s">
        <v>221</v>
      </c>
      <c r="I198" s="73" t="s">
        <v>374</v>
      </c>
      <c r="J198" s="85">
        <v>43965076</v>
      </c>
      <c r="L198" s="85" t="s">
        <v>288</v>
      </c>
      <c r="N198" s="74" t="s">
        <v>375</v>
      </c>
      <c r="O198" s="75" t="str">
        <f>VLOOKUP(N198,[1]UPS_SETIIPRESS!$A$2:$B$527,2,0)</f>
        <v>CENTRO QUIRÚRGICO Y ANESTESIOLOGÍA</v>
      </c>
      <c r="P198" s="31">
        <v>19</v>
      </c>
      <c r="Q198" s="31" t="s">
        <v>50</v>
      </c>
      <c r="R198" s="31" t="s">
        <v>58</v>
      </c>
      <c r="S198" s="31" t="s">
        <v>54</v>
      </c>
      <c r="T198" s="31" t="s">
        <v>54</v>
      </c>
      <c r="U198" s="31" t="s">
        <v>289</v>
      </c>
      <c r="V198" s="31" t="s">
        <v>56</v>
      </c>
      <c r="AA198" s="31">
        <v>23500</v>
      </c>
    </row>
    <row r="199" spans="1:27" ht="13.5" x14ac:dyDescent="0.25">
      <c r="A199" s="30">
        <v>46048</v>
      </c>
      <c r="B199" s="71" t="s">
        <v>372</v>
      </c>
      <c r="C199" s="31" t="s">
        <v>59</v>
      </c>
      <c r="D199" s="72">
        <v>17024</v>
      </c>
      <c r="E199" s="31">
        <v>1</v>
      </c>
      <c r="F199" s="73" t="s">
        <v>373</v>
      </c>
      <c r="G199" s="31" t="s">
        <v>60</v>
      </c>
      <c r="H199" s="31" t="s">
        <v>290</v>
      </c>
      <c r="I199" s="73" t="s">
        <v>374</v>
      </c>
      <c r="J199" s="85">
        <v>71094795</v>
      </c>
      <c r="L199" s="85">
        <v>6291742</v>
      </c>
      <c r="N199" s="74" t="s">
        <v>375</v>
      </c>
      <c r="O199" s="75" t="str">
        <f>VLOOKUP(N199,[1]UPS_SETIIPRESS!$A$2:$B$527,2,0)</f>
        <v>CENTRO QUIRÚRGICO Y ANESTESIOLOGÍA</v>
      </c>
      <c r="P199" s="31">
        <v>67</v>
      </c>
      <c r="Q199" s="31" t="s">
        <v>63</v>
      </c>
      <c r="R199" s="31" t="s">
        <v>63</v>
      </c>
      <c r="S199" s="31" t="s">
        <v>54</v>
      </c>
      <c r="T199" s="31" t="s">
        <v>54</v>
      </c>
      <c r="U199" s="31" t="s">
        <v>126</v>
      </c>
      <c r="V199" s="31" t="s">
        <v>56</v>
      </c>
      <c r="AA199" s="31">
        <v>66982</v>
      </c>
    </row>
    <row r="200" spans="1:27" ht="13.5" x14ac:dyDescent="0.25">
      <c r="A200" s="30">
        <v>46048</v>
      </c>
      <c r="B200" s="71" t="s">
        <v>372</v>
      </c>
      <c r="C200" s="31" t="s">
        <v>59</v>
      </c>
      <c r="D200" s="72">
        <v>17024</v>
      </c>
      <c r="E200" s="31">
        <v>1</v>
      </c>
      <c r="F200" s="73" t="s">
        <v>373</v>
      </c>
      <c r="G200" s="31" t="s">
        <v>60</v>
      </c>
      <c r="H200" s="31" t="s">
        <v>61</v>
      </c>
      <c r="I200" s="73" t="s">
        <v>374</v>
      </c>
      <c r="J200" s="85">
        <v>21523144</v>
      </c>
      <c r="L200" s="85">
        <v>9145142</v>
      </c>
      <c r="N200" s="74" t="s">
        <v>375</v>
      </c>
      <c r="O200" s="75" t="str">
        <f>VLOOKUP(N200,[1]UPS_SETIIPRESS!$A$2:$B$527,2,0)</f>
        <v>CENTRO QUIRÚRGICO Y ANESTESIOLOGÍA</v>
      </c>
      <c r="P200" s="31">
        <v>59</v>
      </c>
      <c r="Q200" s="31" t="s">
        <v>63</v>
      </c>
      <c r="R200" s="31" t="s">
        <v>63</v>
      </c>
      <c r="S200" s="31" t="s">
        <v>54</v>
      </c>
      <c r="T200" s="31" t="s">
        <v>54</v>
      </c>
      <c r="U200" s="31" t="s">
        <v>64</v>
      </c>
      <c r="V200" s="31" t="s">
        <v>56</v>
      </c>
      <c r="AA200" s="31">
        <v>90874</v>
      </c>
    </row>
    <row r="201" spans="1:27" ht="13.5" x14ac:dyDescent="0.25">
      <c r="A201" s="30">
        <v>46048</v>
      </c>
      <c r="B201" s="71" t="s">
        <v>372</v>
      </c>
      <c r="C201" s="31" t="s">
        <v>67</v>
      </c>
      <c r="D201" s="72">
        <v>17024</v>
      </c>
      <c r="E201" s="31">
        <v>1</v>
      </c>
      <c r="F201" s="73" t="s">
        <v>373</v>
      </c>
      <c r="G201" s="31" t="s">
        <v>50</v>
      </c>
      <c r="H201" s="31" t="s">
        <v>176</v>
      </c>
      <c r="I201" s="73" t="s">
        <v>374</v>
      </c>
      <c r="J201" s="85">
        <v>21523144</v>
      </c>
      <c r="L201" s="85">
        <v>8368969</v>
      </c>
      <c r="N201" s="74" t="s">
        <v>375</v>
      </c>
      <c r="O201" s="75" t="str">
        <f>VLOOKUP(N201,[1]UPS_SETIIPRESS!$A$2:$B$527,2,0)</f>
        <v>CENTRO QUIRÚRGICO Y ANESTESIOLOGÍA</v>
      </c>
      <c r="P201" s="31">
        <v>63</v>
      </c>
      <c r="Q201" s="31" t="s">
        <v>63</v>
      </c>
      <c r="R201" s="31" t="s">
        <v>54</v>
      </c>
      <c r="S201" s="31" t="s">
        <v>54</v>
      </c>
      <c r="T201" s="31" t="s">
        <v>57</v>
      </c>
      <c r="U201" s="31" t="s">
        <v>64</v>
      </c>
      <c r="V201" s="31" t="s">
        <v>56</v>
      </c>
      <c r="AA201" s="31">
        <v>90874</v>
      </c>
    </row>
    <row r="202" spans="1:27" ht="13.5" x14ac:dyDescent="0.25">
      <c r="A202" s="30">
        <v>46049</v>
      </c>
      <c r="B202" s="71" t="s">
        <v>372</v>
      </c>
      <c r="C202" s="31" t="s">
        <v>59</v>
      </c>
      <c r="D202" s="72">
        <v>17024</v>
      </c>
      <c r="E202" s="31">
        <v>1</v>
      </c>
      <c r="F202" s="73" t="s">
        <v>373</v>
      </c>
      <c r="G202" s="31" t="s">
        <v>50</v>
      </c>
      <c r="H202" s="31" t="s">
        <v>176</v>
      </c>
      <c r="I202" s="73" t="s">
        <v>374</v>
      </c>
      <c r="J202" s="85">
        <v>21523144</v>
      </c>
      <c r="L202" s="85">
        <v>10882673</v>
      </c>
      <c r="N202" s="74" t="s">
        <v>375</v>
      </c>
      <c r="O202" s="75" t="str">
        <f>VLOOKUP(N202,[1]UPS_SETIIPRESS!$A$2:$B$527,2,0)</f>
        <v>CENTRO QUIRÚRGICO Y ANESTESIOLOGÍA</v>
      </c>
      <c r="P202" s="31">
        <v>49</v>
      </c>
      <c r="Q202" s="31" t="s">
        <v>50</v>
      </c>
      <c r="R202" s="31" t="s">
        <v>58</v>
      </c>
      <c r="S202" s="31" t="s">
        <v>58</v>
      </c>
      <c r="T202" s="31" t="s">
        <v>57</v>
      </c>
      <c r="U202" s="31" t="s">
        <v>64</v>
      </c>
      <c r="V202" s="31" t="s">
        <v>56</v>
      </c>
      <c r="AA202" s="31">
        <v>90874</v>
      </c>
    </row>
    <row r="203" spans="1:27" ht="13.5" x14ac:dyDescent="0.25">
      <c r="A203" s="30">
        <v>46049</v>
      </c>
      <c r="B203" s="71" t="s">
        <v>372</v>
      </c>
      <c r="C203" s="31" t="s">
        <v>59</v>
      </c>
      <c r="D203" s="72">
        <v>17024</v>
      </c>
      <c r="E203" s="31">
        <v>1</v>
      </c>
      <c r="F203" s="73" t="s">
        <v>373</v>
      </c>
      <c r="G203" s="31" t="s">
        <v>60</v>
      </c>
      <c r="H203" s="31" t="s">
        <v>291</v>
      </c>
      <c r="I203" s="73" t="s">
        <v>374</v>
      </c>
      <c r="J203" s="85">
        <v>806498</v>
      </c>
      <c r="L203" s="85">
        <v>43294995</v>
      </c>
      <c r="N203" s="74" t="s">
        <v>375</v>
      </c>
      <c r="O203" s="75" t="str">
        <f>VLOOKUP(N203,[1]UPS_SETIIPRESS!$A$2:$B$527,2,0)</f>
        <v>CENTRO QUIRÚRGICO Y ANESTESIOLOGÍA</v>
      </c>
      <c r="P203" s="31">
        <v>61</v>
      </c>
      <c r="Q203" s="31" t="s">
        <v>50</v>
      </c>
      <c r="R203" s="31" t="s">
        <v>53</v>
      </c>
      <c r="S203" s="31" t="s">
        <v>58</v>
      </c>
      <c r="T203" s="31" t="s">
        <v>54</v>
      </c>
      <c r="U203" s="31" t="s">
        <v>126</v>
      </c>
      <c r="V203" s="31" t="s">
        <v>56</v>
      </c>
      <c r="AA203" s="31">
        <v>66982</v>
      </c>
    </row>
    <row r="204" spans="1:27" ht="13.5" x14ac:dyDescent="0.25">
      <c r="A204" s="30">
        <v>46049</v>
      </c>
      <c r="B204" s="71" t="s">
        <v>372</v>
      </c>
      <c r="C204" s="31" t="s">
        <v>67</v>
      </c>
      <c r="D204" s="72">
        <v>17024</v>
      </c>
      <c r="E204" s="31">
        <v>1</v>
      </c>
      <c r="F204" s="73" t="s">
        <v>373</v>
      </c>
      <c r="G204" s="31" t="s">
        <v>60</v>
      </c>
      <c r="H204" s="31" t="s">
        <v>291</v>
      </c>
      <c r="I204" s="73" t="s">
        <v>374</v>
      </c>
      <c r="J204" s="85">
        <v>806498</v>
      </c>
      <c r="L204" s="85">
        <v>29674084</v>
      </c>
      <c r="N204" s="74" t="s">
        <v>375</v>
      </c>
      <c r="O204" s="75" t="str">
        <f>VLOOKUP(N204,[1]UPS_SETIIPRESS!$A$2:$B$527,2,0)</f>
        <v>CENTRO QUIRÚRGICO Y ANESTESIOLOGÍA</v>
      </c>
      <c r="P204" s="31">
        <v>50</v>
      </c>
      <c r="Q204" s="31" t="s">
        <v>50</v>
      </c>
      <c r="R204" s="31" t="s">
        <v>53</v>
      </c>
      <c r="S204" s="31" t="s">
        <v>58</v>
      </c>
      <c r="T204" s="31" t="s">
        <v>54</v>
      </c>
      <c r="U204" s="31" t="s">
        <v>126</v>
      </c>
      <c r="V204" s="31" t="s">
        <v>56</v>
      </c>
      <c r="AA204" s="31">
        <v>66.981999999999999</v>
      </c>
    </row>
    <row r="205" spans="1:27" ht="13.5" x14ac:dyDescent="0.25">
      <c r="A205" s="30">
        <v>46049</v>
      </c>
      <c r="B205" s="71" t="s">
        <v>372</v>
      </c>
      <c r="C205" s="31" t="s">
        <v>69</v>
      </c>
      <c r="D205" s="72">
        <v>17024</v>
      </c>
      <c r="E205" s="31">
        <v>1</v>
      </c>
      <c r="F205" s="73" t="s">
        <v>373</v>
      </c>
      <c r="G205" s="31" t="s">
        <v>60</v>
      </c>
      <c r="H205" s="31" t="s">
        <v>291</v>
      </c>
      <c r="I205" s="73" t="s">
        <v>374</v>
      </c>
      <c r="J205" s="85">
        <v>806498</v>
      </c>
      <c r="L205" s="85">
        <v>41674311</v>
      </c>
      <c r="N205" s="74" t="s">
        <v>375</v>
      </c>
      <c r="O205" s="75" t="str">
        <f>VLOOKUP(N205,[1]UPS_SETIIPRESS!$A$2:$B$527,2,0)</f>
        <v>CENTRO QUIRÚRGICO Y ANESTESIOLOGÍA</v>
      </c>
      <c r="P205" s="31">
        <v>80</v>
      </c>
      <c r="Q205" s="31" t="s">
        <v>50</v>
      </c>
      <c r="R205" s="31" t="s">
        <v>53</v>
      </c>
      <c r="S205" s="31" t="s">
        <v>58</v>
      </c>
      <c r="T205" s="31" t="s">
        <v>54</v>
      </c>
      <c r="U205" s="31" t="s">
        <v>126</v>
      </c>
      <c r="V205" s="31" t="s">
        <v>56</v>
      </c>
      <c r="AA205" s="31">
        <v>66982</v>
      </c>
    </row>
    <row r="206" spans="1:27" ht="13.5" x14ac:dyDescent="0.25">
      <c r="A206" s="30">
        <v>46049</v>
      </c>
      <c r="B206" s="71" t="s">
        <v>372</v>
      </c>
      <c r="C206" s="31" t="s">
        <v>93</v>
      </c>
      <c r="D206" s="72">
        <v>17024</v>
      </c>
      <c r="E206" s="31">
        <v>1</v>
      </c>
      <c r="F206" s="73" t="s">
        <v>373</v>
      </c>
      <c r="G206" s="31" t="s">
        <v>50</v>
      </c>
      <c r="H206" s="31" t="s">
        <v>293</v>
      </c>
      <c r="I206" s="73" t="s">
        <v>374</v>
      </c>
      <c r="J206" s="85">
        <v>42948211</v>
      </c>
      <c r="L206" s="85">
        <v>43281473</v>
      </c>
      <c r="N206" s="74" t="s">
        <v>375</v>
      </c>
      <c r="O206" s="75" t="str">
        <f>VLOOKUP(N206,[1]UPS_SETIIPRESS!$A$2:$B$527,2,0)</f>
        <v>CENTRO QUIRÚRGICO Y ANESTESIOLOGÍA</v>
      </c>
      <c r="P206" s="31">
        <v>46</v>
      </c>
      <c r="Q206" s="31" t="s">
        <v>50</v>
      </c>
      <c r="R206" s="31" t="s">
        <v>53</v>
      </c>
      <c r="S206" s="31" t="s">
        <v>54</v>
      </c>
      <c r="T206" s="31" t="s">
        <v>54</v>
      </c>
      <c r="U206" s="31" t="s">
        <v>89</v>
      </c>
      <c r="V206" s="31" t="s">
        <v>56</v>
      </c>
      <c r="AA206" s="31">
        <v>22842</v>
      </c>
    </row>
    <row r="207" spans="1:27" ht="13.5" x14ac:dyDescent="0.25">
      <c r="A207" s="30">
        <v>46049</v>
      </c>
      <c r="B207" s="71" t="s">
        <v>372</v>
      </c>
      <c r="C207" s="31" t="s">
        <v>97</v>
      </c>
      <c r="D207" s="72">
        <v>17024</v>
      </c>
      <c r="E207" s="31">
        <v>1</v>
      </c>
      <c r="F207" s="73" t="s">
        <v>373</v>
      </c>
      <c r="G207" s="31" t="s">
        <v>60</v>
      </c>
      <c r="H207" s="31" t="s">
        <v>294</v>
      </c>
      <c r="I207" s="73" t="s">
        <v>374</v>
      </c>
      <c r="J207" s="85">
        <v>6672559</v>
      </c>
      <c r="L207" s="85">
        <v>40868130</v>
      </c>
      <c r="N207" s="74" t="s">
        <v>375</v>
      </c>
      <c r="O207" s="75" t="str">
        <f>VLOOKUP(N207,[1]UPS_SETIIPRESS!$A$2:$B$527,2,0)</f>
        <v>CENTRO QUIRÚRGICO Y ANESTESIOLOGÍA</v>
      </c>
      <c r="P207" s="31">
        <v>45</v>
      </c>
      <c r="Q207" s="31" t="s">
        <v>63</v>
      </c>
      <c r="R207" s="31" t="s">
        <v>103</v>
      </c>
      <c r="S207" s="31" t="s">
        <v>54</v>
      </c>
      <c r="T207" s="31" t="s">
        <v>54</v>
      </c>
      <c r="U207" s="31" t="s">
        <v>96</v>
      </c>
      <c r="V207" s="31" t="s">
        <v>56</v>
      </c>
      <c r="AA207" s="31">
        <v>29870</v>
      </c>
    </row>
    <row r="208" spans="1:27" ht="13.5" x14ac:dyDescent="0.25">
      <c r="A208" s="30">
        <v>46049</v>
      </c>
      <c r="B208" s="71" t="s">
        <v>372</v>
      </c>
      <c r="C208" s="31" t="s">
        <v>100</v>
      </c>
      <c r="D208" s="72">
        <v>17024</v>
      </c>
      <c r="E208" s="31">
        <v>1</v>
      </c>
      <c r="F208" s="73" t="s">
        <v>373</v>
      </c>
      <c r="G208" s="31" t="s">
        <v>60</v>
      </c>
      <c r="H208" s="31" t="s">
        <v>294</v>
      </c>
      <c r="I208" s="73" t="s">
        <v>374</v>
      </c>
      <c r="J208" s="85">
        <v>6672559</v>
      </c>
      <c r="L208" s="85">
        <v>74948843</v>
      </c>
      <c r="N208" s="74" t="s">
        <v>375</v>
      </c>
      <c r="O208" s="75" t="str">
        <f>VLOOKUP(N208,[1]UPS_SETIIPRESS!$A$2:$B$527,2,0)</f>
        <v>CENTRO QUIRÚRGICO Y ANESTESIOLOGÍA</v>
      </c>
      <c r="P208" s="31">
        <v>21</v>
      </c>
      <c r="Q208" s="31" t="s">
        <v>50</v>
      </c>
      <c r="R208" s="31" t="s">
        <v>60</v>
      </c>
      <c r="S208" s="31" t="s">
        <v>54</v>
      </c>
      <c r="T208" s="31" t="s">
        <v>54</v>
      </c>
      <c r="U208" s="31" t="s">
        <v>96</v>
      </c>
      <c r="V208" s="31" t="s">
        <v>56</v>
      </c>
      <c r="AA208" s="31">
        <v>29870</v>
      </c>
    </row>
    <row r="209" spans="1:27" ht="13.5" x14ac:dyDescent="0.25">
      <c r="A209" s="30">
        <v>46049</v>
      </c>
      <c r="B209" s="71" t="s">
        <v>372</v>
      </c>
      <c r="C209" s="31" t="s">
        <v>59</v>
      </c>
      <c r="D209" s="72">
        <v>17024</v>
      </c>
      <c r="E209" s="31">
        <v>1</v>
      </c>
      <c r="F209" s="73" t="s">
        <v>373</v>
      </c>
      <c r="G209" s="31" t="s">
        <v>60</v>
      </c>
      <c r="H209" s="31" t="s">
        <v>296</v>
      </c>
      <c r="I209" s="73" t="s">
        <v>374</v>
      </c>
      <c r="J209" s="85">
        <v>7747742</v>
      </c>
      <c r="L209" s="85">
        <v>46062518</v>
      </c>
      <c r="N209" s="74" t="s">
        <v>375</v>
      </c>
      <c r="O209" s="75" t="str">
        <f>VLOOKUP(N209,[1]UPS_SETIIPRESS!$A$2:$B$527,2,0)</f>
        <v>CENTRO QUIRÚRGICO Y ANESTESIOLOGÍA</v>
      </c>
      <c r="P209" s="31">
        <v>36</v>
      </c>
      <c r="Q209" s="31" t="s">
        <v>63</v>
      </c>
      <c r="R209" s="31" t="s">
        <v>53</v>
      </c>
      <c r="S209" s="31" t="s">
        <v>76</v>
      </c>
      <c r="T209" s="31" t="s">
        <v>54</v>
      </c>
      <c r="U209" s="31" t="s">
        <v>298</v>
      </c>
      <c r="V209" s="31" t="s">
        <v>56</v>
      </c>
      <c r="AA209" s="31">
        <v>59510</v>
      </c>
    </row>
    <row r="210" spans="1:27" ht="13.5" x14ac:dyDescent="0.25">
      <c r="A210" s="30">
        <v>46049</v>
      </c>
      <c r="B210" s="71" t="s">
        <v>372</v>
      </c>
      <c r="C210" s="31" t="s">
        <v>67</v>
      </c>
      <c r="D210" s="72">
        <v>17024</v>
      </c>
      <c r="E210" s="31">
        <v>1</v>
      </c>
      <c r="F210" s="73" t="s">
        <v>373</v>
      </c>
      <c r="G210" s="31" t="s">
        <v>50</v>
      </c>
      <c r="H210" s="31" t="s">
        <v>85</v>
      </c>
      <c r="I210" s="73" t="s">
        <v>374</v>
      </c>
      <c r="J210" s="85">
        <v>43527739</v>
      </c>
      <c r="L210" s="85">
        <v>21786580</v>
      </c>
      <c r="N210" s="74" t="s">
        <v>375</v>
      </c>
      <c r="O210" s="75" t="str">
        <f>VLOOKUP(N210,[1]UPS_SETIIPRESS!$A$2:$B$527,2,0)</f>
        <v>CENTRO QUIRÚRGICO Y ANESTESIOLOGÍA</v>
      </c>
      <c r="P210" s="31">
        <v>65</v>
      </c>
      <c r="Q210" s="31" t="s">
        <v>50</v>
      </c>
      <c r="R210" s="31" t="s">
        <v>103</v>
      </c>
      <c r="S210" s="31" t="s">
        <v>54</v>
      </c>
      <c r="T210" s="31" t="s">
        <v>54</v>
      </c>
      <c r="U210" s="31" t="s">
        <v>84</v>
      </c>
      <c r="V210" s="31" t="s">
        <v>56</v>
      </c>
      <c r="AA210" s="31">
        <v>52601</v>
      </c>
    </row>
    <row r="211" spans="1:27" ht="13.5" x14ac:dyDescent="0.25">
      <c r="A211" s="30">
        <v>46049</v>
      </c>
      <c r="B211" s="71" t="s">
        <v>372</v>
      </c>
      <c r="C211" s="31" t="s">
        <v>93</v>
      </c>
      <c r="D211" s="72">
        <v>17024</v>
      </c>
      <c r="E211" s="31">
        <v>1</v>
      </c>
      <c r="F211" s="73" t="s">
        <v>373</v>
      </c>
      <c r="G211" s="31" t="s">
        <v>60</v>
      </c>
      <c r="H211" s="31" t="s">
        <v>299</v>
      </c>
      <c r="I211" s="73" t="s">
        <v>374</v>
      </c>
      <c r="J211" s="85">
        <v>17817616</v>
      </c>
      <c r="L211" s="85">
        <v>20066423</v>
      </c>
      <c r="N211" s="74" t="s">
        <v>375</v>
      </c>
      <c r="O211" s="75" t="str">
        <f>VLOOKUP(N211,[1]UPS_SETIIPRESS!$A$2:$B$527,2,0)</f>
        <v>CENTRO QUIRÚRGICO Y ANESTESIOLOGÍA</v>
      </c>
      <c r="P211" s="31">
        <v>50</v>
      </c>
      <c r="Q211" s="31" t="s">
        <v>50</v>
      </c>
      <c r="R211" s="31" t="s">
        <v>53</v>
      </c>
      <c r="S211" s="31" t="s">
        <v>76</v>
      </c>
      <c r="T211" s="31" t="s">
        <v>54</v>
      </c>
      <c r="U211" s="31" t="s">
        <v>300</v>
      </c>
      <c r="V211" s="31" t="s">
        <v>56</v>
      </c>
      <c r="AA211" s="31">
        <v>50545</v>
      </c>
    </row>
    <row r="212" spans="1:27" ht="13.5" x14ac:dyDescent="0.25">
      <c r="A212" s="30">
        <v>46049</v>
      </c>
      <c r="B212" s="71" t="s">
        <v>372</v>
      </c>
      <c r="C212" s="31" t="s">
        <v>97</v>
      </c>
      <c r="D212" s="72">
        <v>17024</v>
      </c>
      <c r="E212" s="31">
        <v>1</v>
      </c>
      <c r="F212" s="73" t="s">
        <v>373</v>
      </c>
      <c r="G212" s="31" t="s">
        <v>50</v>
      </c>
      <c r="H212" s="31" t="s">
        <v>302</v>
      </c>
      <c r="I212" s="73" t="s">
        <v>374</v>
      </c>
      <c r="J212" s="85">
        <v>11915664</v>
      </c>
      <c r="L212" s="85">
        <v>42198431</v>
      </c>
      <c r="N212" s="74" t="s">
        <v>375</v>
      </c>
      <c r="O212" s="75" t="str">
        <f>VLOOKUP(N212,[1]UPS_SETIIPRESS!$A$2:$B$527,2,0)</f>
        <v>CENTRO QUIRÚRGICO Y ANESTESIOLOGÍA</v>
      </c>
      <c r="P212" s="31">
        <v>76</v>
      </c>
      <c r="Q212" s="31" t="s">
        <v>50</v>
      </c>
      <c r="R212" s="31" t="s">
        <v>53</v>
      </c>
      <c r="S212" s="31" t="s">
        <v>54</v>
      </c>
      <c r="T212" s="31" t="s">
        <v>54</v>
      </c>
      <c r="U212" s="31" t="s">
        <v>303</v>
      </c>
      <c r="V212" s="31" t="s">
        <v>56</v>
      </c>
      <c r="AA212" s="31">
        <v>26160</v>
      </c>
    </row>
    <row r="213" spans="1:27" ht="13.5" x14ac:dyDescent="0.25">
      <c r="A213" s="30">
        <v>46048</v>
      </c>
      <c r="B213" s="71" t="s">
        <v>372</v>
      </c>
      <c r="C213" s="31" t="s">
        <v>127</v>
      </c>
      <c r="D213" s="72">
        <v>17024</v>
      </c>
      <c r="E213" s="31">
        <v>1</v>
      </c>
      <c r="F213" s="73" t="s">
        <v>373</v>
      </c>
      <c r="G213" s="31" t="s">
        <v>60</v>
      </c>
      <c r="H213" s="31" t="s">
        <v>137</v>
      </c>
      <c r="I213" s="73" t="s">
        <v>374</v>
      </c>
      <c r="J213" s="85">
        <v>20078680</v>
      </c>
      <c r="L213" s="85">
        <v>5326619</v>
      </c>
      <c r="N213" s="74" t="s">
        <v>375</v>
      </c>
      <c r="O213" s="75" t="str">
        <f>VLOOKUP(N213,[1]UPS_SETIIPRESS!$A$2:$B$527,2,0)</f>
        <v>CENTRO QUIRÚRGICO Y ANESTESIOLOGÍA</v>
      </c>
      <c r="P213" s="31">
        <v>57</v>
      </c>
      <c r="Q213" s="31" t="s">
        <v>63</v>
      </c>
      <c r="R213" s="31" t="s">
        <v>63</v>
      </c>
      <c r="S213" s="31" t="s">
        <v>54</v>
      </c>
      <c r="T213" s="31" t="s">
        <v>54</v>
      </c>
      <c r="U213" s="31" t="s">
        <v>304</v>
      </c>
      <c r="V213" s="31" t="s">
        <v>56</v>
      </c>
      <c r="AA213" s="31">
        <v>21390</v>
      </c>
    </row>
    <row r="214" spans="1:27" ht="13.5" x14ac:dyDescent="0.25">
      <c r="A214" s="30">
        <v>46050</v>
      </c>
      <c r="B214" s="71" t="s">
        <v>372</v>
      </c>
      <c r="C214" s="31" t="s">
        <v>50</v>
      </c>
      <c r="D214" s="72">
        <v>17024</v>
      </c>
      <c r="E214" s="31">
        <v>1</v>
      </c>
      <c r="F214" s="73" t="s">
        <v>373</v>
      </c>
      <c r="G214" s="31" t="s">
        <v>60</v>
      </c>
      <c r="H214" s="31" t="s">
        <v>61</v>
      </c>
      <c r="I214" s="73" t="s">
        <v>374</v>
      </c>
      <c r="J214" s="85">
        <v>21523144</v>
      </c>
      <c r="L214" s="85" t="s">
        <v>217</v>
      </c>
      <c r="N214" s="74" t="s">
        <v>375</v>
      </c>
      <c r="O214" s="75" t="str">
        <f>VLOOKUP(N214,[1]UPS_SETIIPRESS!$A$2:$B$527,2,0)</f>
        <v>CENTRO QUIRÚRGICO Y ANESTESIOLOGÍA</v>
      </c>
      <c r="P214" s="31">
        <v>59</v>
      </c>
      <c r="Q214" s="31" t="s">
        <v>63</v>
      </c>
      <c r="R214" s="31" t="s">
        <v>63</v>
      </c>
      <c r="S214" s="31" t="s">
        <v>54</v>
      </c>
      <c r="T214" s="31" t="s">
        <v>54</v>
      </c>
      <c r="U214" s="31" t="s">
        <v>64</v>
      </c>
      <c r="V214" s="31" t="s">
        <v>56</v>
      </c>
      <c r="AA214" s="31">
        <v>90874</v>
      </c>
    </row>
    <row r="215" spans="1:27" ht="13.5" x14ac:dyDescent="0.25">
      <c r="A215" s="30">
        <v>46050</v>
      </c>
      <c r="B215" s="71" t="s">
        <v>372</v>
      </c>
      <c r="C215" s="31" t="s">
        <v>50</v>
      </c>
      <c r="D215" s="72">
        <v>17024</v>
      </c>
      <c r="E215" s="31">
        <v>1</v>
      </c>
      <c r="F215" s="73" t="s">
        <v>373</v>
      </c>
      <c r="G215" s="31" t="s">
        <v>60</v>
      </c>
      <c r="H215" s="31" t="s">
        <v>61</v>
      </c>
      <c r="I215" s="73" t="s">
        <v>374</v>
      </c>
      <c r="J215" s="85">
        <v>21523144</v>
      </c>
      <c r="L215" s="85">
        <v>47472877</v>
      </c>
      <c r="N215" s="74" t="s">
        <v>375</v>
      </c>
      <c r="O215" s="75" t="str">
        <f>VLOOKUP(N215,[1]UPS_SETIIPRESS!$A$2:$B$527,2,0)</f>
        <v>CENTRO QUIRÚRGICO Y ANESTESIOLOGÍA</v>
      </c>
      <c r="P215" s="31">
        <v>32</v>
      </c>
      <c r="Q215" s="31" t="s">
        <v>63</v>
      </c>
      <c r="R215" s="31" t="s">
        <v>63</v>
      </c>
      <c r="S215" s="31" t="s">
        <v>54</v>
      </c>
      <c r="T215" s="31" t="s">
        <v>54</v>
      </c>
      <c r="U215" s="31" t="s">
        <v>64</v>
      </c>
      <c r="V215" s="31" t="s">
        <v>56</v>
      </c>
      <c r="AA215" s="31">
        <v>90874</v>
      </c>
    </row>
    <row r="216" spans="1:27" ht="13.5" x14ac:dyDescent="0.25">
      <c r="A216" s="30">
        <v>46050</v>
      </c>
      <c r="B216" s="71" t="s">
        <v>372</v>
      </c>
      <c r="C216" s="31" t="s">
        <v>50</v>
      </c>
      <c r="D216" s="72">
        <v>17024</v>
      </c>
      <c r="E216" s="31">
        <v>1</v>
      </c>
      <c r="F216" s="73" t="s">
        <v>373</v>
      </c>
      <c r="G216" s="31" t="s">
        <v>60</v>
      </c>
      <c r="H216" s="31" t="s">
        <v>61</v>
      </c>
      <c r="I216" s="73" t="s">
        <v>374</v>
      </c>
      <c r="J216" s="85">
        <v>21523144</v>
      </c>
      <c r="L216" s="85" t="s">
        <v>90</v>
      </c>
      <c r="N216" s="74" t="s">
        <v>375</v>
      </c>
      <c r="O216" s="75" t="str">
        <f>VLOOKUP(N216,[1]UPS_SETIIPRESS!$A$2:$B$527,2,0)</f>
        <v>CENTRO QUIRÚRGICO Y ANESTESIOLOGÍA</v>
      </c>
      <c r="P216" s="31">
        <v>53</v>
      </c>
      <c r="Q216" s="31" t="s">
        <v>63</v>
      </c>
      <c r="R216" s="31" t="s">
        <v>63</v>
      </c>
      <c r="S216" s="31" t="s">
        <v>54</v>
      </c>
      <c r="T216" s="31" t="s">
        <v>54</v>
      </c>
      <c r="U216" s="31" t="s">
        <v>64</v>
      </c>
      <c r="V216" s="31" t="s">
        <v>56</v>
      </c>
      <c r="AA216" s="31">
        <v>90874</v>
      </c>
    </row>
    <row r="217" spans="1:27" ht="13.5" x14ac:dyDescent="0.25">
      <c r="A217" s="30">
        <v>46050</v>
      </c>
      <c r="B217" s="71" t="s">
        <v>372</v>
      </c>
      <c r="C217" s="31" t="s">
        <v>59</v>
      </c>
      <c r="D217" s="72">
        <v>17024</v>
      </c>
      <c r="E217" s="31">
        <v>1</v>
      </c>
      <c r="F217" s="73" t="s">
        <v>373</v>
      </c>
      <c r="G217" s="31" t="s">
        <v>60</v>
      </c>
      <c r="H217" s="31" t="s">
        <v>291</v>
      </c>
      <c r="I217" s="73" t="s">
        <v>374</v>
      </c>
      <c r="J217" s="85">
        <v>8106498</v>
      </c>
      <c r="L217" s="85">
        <v>21787997</v>
      </c>
      <c r="N217" s="74" t="s">
        <v>375</v>
      </c>
      <c r="O217" s="75" t="str">
        <f>VLOOKUP(N217,[1]UPS_SETIIPRESS!$A$2:$B$527,2,0)</f>
        <v>CENTRO QUIRÚRGICO Y ANESTESIOLOGÍA</v>
      </c>
      <c r="P217" s="31">
        <v>67</v>
      </c>
      <c r="Q217" s="31" t="s">
        <v>50</v>
      </c>
      <c r="R217" s="31" t="s">
        <v>53</v>
      </c>
      <c r="S217" s="31" t="s">
        <v>58</v>
      </c>
      <c r="T217" s="31" t="s">
        <v>54</v>
      </c>
      <c r="U217" s="31" t="s">
        <v>126</v>
      </c>
      <c r="V217" s="31" t="s">
        <v>56</v>
      </c>
      <c r="AA217" s="31">
        <v>66170</v>
      </c>
    </row>
    <row r="218" spans="1:27" ht="13.5" x14ac:dyDescent="0.25">
      <c r="A218" s="30">
        <v>46050</v>
      </c>
      <c r="B218" s="71" t="s">
        <v>372</v>
      </c>
      <c r="C218" s="31" t="s">
        <v>67</v>
      </c>
      <c r="D218" s="72">
        <v>17024</v>
      </c>
      <c r="E218" s="31">
        <v>1</v>
      </c>
      <c r="F218" s="73" t="s">
        <v>373</v>
      </c>
      <c r="G218" s="31" t="s">
        <v>60</v>
      </c>
      <c r="H218" s="31" t="s">
        <v>291</v>
      </c>
      <c r="I218" s="73" t="s">
        <v>374</v>
      </c>
      <c r="J218" s="85">
        <v>8106498</v>
      </c>
      <c r="L218" s="85">
        <v>9882236</v>
      </c>
      <c r="N218" s="74" t="s">
        <v>375</v>
      </c>
      <c r="O218" s="75" t="str">
        <f>VLOOKUP(N218,[1]UPS_SETIIPRESS!$A$2:$B$527,2,0)</f>
        <v>CENTRO QUIRÚRGICO Y ANESTESIOLOGÍA</v>
      </c>
      <c r="P218" s="31">
        <v>67</v>
      </c>
      <c r="Q218" s="31" t="s">
        <v>63</v>
      </c>
      <c r="R218" s="31" t="s">
        <v>63</v>
      </c>
      <c r="S218" s="31" t="s">
        <v>54</v>
      </c>
      <c r="T218" s="31" t="s">
        <v>54</v>
      </c>
      <c r="U218" s="31" t="s">
        <v>126</v>
      </c>
      <c r="V218" s="31" t="s">
        <v>56</v>
      </c>
      <c r="AA218" s="31">
        <v>66982</v>
      </c>
    </row>
    <row r="219" spans="1:27" ht="13.5" x14ac:dyDescent="0.25">
      <c r="A219" s="30">
        <v>46050</v>
      </c>
      <c r="B219" s="71" t="s">
        <v>372</v>
      </c>
      <c r="C219" s="31" t="s">
        <v>93</v>
      </c>
      <c r="D219" s="72">
        <v>17024</v>
      </c>
      <c r="E219" s="31">
        <v>1</v>
      </c>
      <c r="F219" s="73" t="s">
        <v>373</v>
      </c>
      <c r="G219" s="31" t="s">
        <v>60</v>
      </c>
      <c r="H219" s="31" t="s">
        <v>306</v>
      </c>
      <c r="I219" s="73" t="s">
        <v>374</v>
      </c>
      <c r="J219" s="85">
        <v>25500305</v>
      </c>
      <c r="L219" s="85">
        <v>41097432</v>
      </c>
      <c r="N219" s="74" t="s">
        <v>375</v>
      </c>
      <c r="O219" s="75" t="str">
        <f>VLOOKUP(N219,[1]UPS_SETIIPRESS!$A$2:$B$527,2,0)</f>
        <v>CENTRO QUIRÚRGICO Y ANESTESIOLOGÍA</v>
      </c>
      <c r="P219" s="31">
        <v>48</v>
      </c>
      <c r="Q219" s="31" t="s">
        <v>50</v>
      </c>
      <c r="R219" s="31" t="s">
        <v>103</v>
      </c>
      <c r="S219" s="31" t="s">
        <v>76</v>
      </c>
      <c r="T219" s="31" t="s">
        <v>54</v>
      </c>
      <c r="U219" s="31" t="s">
        <v>307</v>
      </c>
      <c r="V219" s="31" t="s">
        <v>56</v>
      </c>
      <c r="AA219" s="31">
        <v>32140</v>
      </c>
    </row>
    <row r="220" spans="1:27" ht="13.5" x14ac:dyDescent="0.25">
      <c r="A220" s="30">
        <v>46050</v>
      </c>
      <c r="B220" s="71" t="s">
        <v>372</v>
      </c>
      <c r="C220" s="31" t="s">
        <v>93</v>
      </c>
      <c r="D220" s="72">
        <v>17024</v>
      </c>
      <c r="E220" s="31">
        <v>1</v>
      </c>
      <c r="F220" s="73" t="s">
        <v>373</v>
      </c>
      <c r="G220" s="31" t="s">
        <v>60</v>
      </c>
      <c r="H220" s="31" t="s">
        <v>108</v>
      </c>
      <c r="I220" s="73" t="s">
        <v>374</v>
      </c>
      <c r="J220" s="85">
        <v>25542321</v>
      </c>
      <c r="L220" s="85">
        <v>7241333</v>
      </c>
      <c r="N220" s="74" t="s">
        <v>375</v>
      </c>
      <c r="O220" s="75" t="str">
        <f>VLOOKUP(N220,[1]UPS_SETIIPRESS!$A$2:$B$527,2,0)</f>
        <v>CENTRO QUIRÚRGICO Y ANESTESIOLOGÍA</v>
      </c>
      <c r="P220" s="31">
        <v>78</v>
      </c>
      <c r="Q220" s="31" t="s">
        <v>63</v>
      </c>
      <c r="R220" s="31" t="s">
        <v>63</v>
      </c>
      <c r="S220" s="31" t="s">
        <v>54</v>
      </c>
      <c r="T220" s="31" t="s">
        <v>54</v>
      </c>
      <c r="U220" s="31" t="s">
        <v>308</v>
      </c>
      <c r="V220" s="31" t="s">
        <v>56</v>
      </c>
      <c r="AA220" s="31">
        <v>49565</v>
      </c>
    </row>
    <row r="221" spans="1:27" ht="13.5" x14ac:dyDescent="0.25">
      <c r="A221" s="30">
        <v>46050</v>
      </c>
      <c r="B221" s="71" t="s">
        <v>372</v>
      </c>
      <c r="C221" s="31" t="s">
        <v>97</v>
      </c>
      <c r="D221" s="72">
        <v>17024</v>
      </c>
      <c r="E221" s="31">
        <v>1</v>
      </c>
      <c r="F221" s="73" t="s">
        <v>373</v>
      </c>
      <c r="G221" s="31" t="s">
        <v>60</v>
      </c>
      <c r="H221" s="31" t="s">
        <v>159</v>
      </c>
      <c r="I221" s="73" t="s">
        <v>374</v>
      </c>
      <c r="J221" s="85">
        <v>22254408</v>
      </c>
      <c r="L221" s="85">
        <v>43729324</v>
      </c>
      <c r="N221" s="74" t="s">
        <v>375</v>
      </c>
      <c r="O221" s="75" t="str">
        <f>VLOOKUP(N221,[1]UPS_SETIIPRESS!$A$2:$B$527,2,0)</f>
        <v>CENTRO QUIRÚRGICO Y ANESTESIOLOGÍA</v>
      </c>
      <c r="P221" s="31">
        <v>58</v>
      </c>
      <c r="Q221" s="31" t="s">
        <v>50</v>
      </c>
      <c r="R221" s="31" t="s">
        <v>53</v>
      </c>
      <c r="S221" s="31" t="s">
        <v>58</v>
      </c>
      <c r="T221" s="31" t="s">
        <v>54</v>
      </c>
      <c r="U221" s="31" t="s">
        <v>308</v>
      </c>
      <c r="V221" s="31" t="s">
        <v>56</v>
      </c>
      <c r="AA221" s="31">
        <v>49565</v>
      </c>
    </row>
    <row r="222" spans="1:27" ht="13.5" x14ac:dyDescent="0.25">
      <c r="A222" s="30">
        <v>46050</v>
      </c>
      <c r="B222" s="71" t="s">
        <v>372</v>
      </c>
      <c r="C222" s="31" t="s">
        <v>100</v>
      </c>
      <c r="D222" s="72">
        <v>17024</v>
      </c>
      <c r="E222" s="31">
        <v>1</v>
      </c>
      <c r="F222" s="73" t="s">
        <v>373</v>
      </c>
      <c r="G222" s="31" t="s">
        <v>60</v>
      </c>
      <c r="H222" s="31" t="s">
        <v>152</v>
      </c>
      <c r="I222" s="73" t="s">
        <v>374</v>
      </c>
      <c r="J222" s="85">
        <v>9652446</v>
      </c>
      <c r="L222" s="85">
        <v>9924868</v>
      </c>
      <c r="N222" s="74" t="s">
        <v>375</v>
      </c>
      <c r="O222" s="75" t="str">
        <f>VLOOKUP(N222,[1]UPS_SETIIPRESS!$A$2:$B$527,2,0)</f>
        <v>CENTRO QUIRÚRGICO Y ANESTESIOLOGÍA</v>
      </c>
      <c r="P222" s="31">
        <v>66</v>
      </c>
      <c r="Q222" s="31" t="s">
        <v>50</v>
      </c>
      <c r="R222" s="31" t="s">
        <v>103</v>
      </c>
      <c r="S222" s="31" t="s">
        <v>58</v>
      </c>
      <c r="T222" s="31" t="s">
        <v>54</v>
      </c>
      <c r="U222" s="31" t="s">
        <v>310</v>
      </c>
      <c r="V222" s="31" t="s">
        <v>56</v>
      </c>
      <c r="AA222" s="31">
        <v>27327</v>
      </c>
    </row>
    <row r="223" spans="1:27" ht="13.5" x14ac:dyDescent="0.25">
      <c r="A223" s="30">
        <v>46050</v>
      </c>
      <c r="B223" s="71" t="s">
        <v>372</v>
      </c>
      <c r="C223" s="31" t="s">
        <v>141</v>
      </c>
      <c r="D223" s="72">
        <v>17024</v>
      </c>
      <c r="E223" s="31">
        <v>1</v>
      </c>
      <c r="F223" s="73" t="s">
        <v>373</v>
      </c>
      <c r="G223" s="31" t="s">
        <v>60</v>
      </c>
      <c r="H223" s="31" t="s">
        <v>159</v>
      </c>
      <c r="I223" s="73" t="s">
        <v>374</v>
      </c>
      <c r="J223" s="85">
        <v>22254408</v>
      </c>
      <c r="L223" s="85">
        <v>16587598</v>
      </c>
      <c r="N223" s="74" t="s">
        <v>375</v>
      </c>
      <c r="O223" s="75" t="str">
        <f>VLOOKUP(N223,[1]UPS_SETIIPRESS!$A$2:$B$527,2,0)</f>
        <v>CENTRO QUIRÚRGICO Y ANESTESIOLOGÍA</v>
      </c>
      <c r="P223" s="31">
        <v>58</v>
      </c>
      <c r="Q223" s="31" t="s">
        <v>50</v>
      </c>
      <c r="R223" s="31" t="s">
        <v>103</v>
      </c>
      <c r="S223" s="31" t="s">
        <v>58</v>
      </c>
      <c r="T223" s="31" t="s">
        <v>54</v>
      </c>
      <c r="U223" s="31" t="s">
        <v>311</v>
      </c>
      <c r="V223" s="31" t="s">
        <v>56</v>
      </c>
      <c r="AA223" s="31">
        <v>49565</v>
      </c>
    </row>
    <row r="224" spans="1:27" ht="13.5" x14ac:dyDescent="0.25">
      <c r="A224" s="30">
        <v>46050</v>
      </c>
      <c r="B224" s="71" t="s">
        <v>372</v>
      </c>
      <c r="C224" s="31" t="s">
        <v>59</v>
      </c>
      <c r="D224" s="72">
        <v>17024</v>
      </c>
      <c r="E224" s="31">
        <v>1</v>
      </c>
      <c r="F224" s="73" t="s">
        <v>373</v>
      </c>
      <c r="G224" s="31" t="s">
        <v>50</v>
      </c>
      <c r="H224" s="31" t="s">
        <v>78</v>
      </c>
      <c r="I224" s="73" t="s">
        <v>374</v>
      </c>
      <c r="J224" s="85">
        <v>43403659</v>
      </c>
      <c r="L224" s="85">
        <v>73190227</v>
      </c>
      <c r="N224" s="74" t="s">
        <v>375</v>
      </c>
      <c r="O224" s="75" t="str">
        <f>VLOOKUP(N224,[1]UPS_SETIIPRESS!$A$2:$B$527,2,0)</f>
        <v>CENTRO QUIRÚRGICO Y ANESTESIOLOGÍA</v>
      </c>
      <c r="P224" s="31">
        <v>20</v>
      </c>
      <c r="Q224" s="31" t="s">
        <v>50</v>
      </c>
      <c r="R224" s="31" t="s">
        <v>60</v>
      </c>
      <c r="S224" s="31" t="s">
        <v>76</v>
      </c>
      <c r="T224" s="31" t="s">
        <v>54</v>
      </c>
      <c r="U224" s="31" t="s">
        <v>80</v>
      </c>
      <c r="V224" s="31" t="s">
        <v>56</v>
      </c>
      <c r="AA224" s="31">
        <v>30520</v>
      </c>
    </row>
    <row r="225" spans="1:27" ht="13.5" x14ac:dyDescent="0.25">
      <c r="A225" s="30">
        <v>46050</v>
      </c>
      <c r="B225" s="71" t="s">
        <v>372</v>
      </c>
      <c r="C225" s="31" t="s">
        <v>59</v>
      </c>
      <c r="D225" s="72">
        <v>17024</v>
      </c>
      <c r="E225" s="31">
        <v>1</v>
      </c>
      <c r="F225" s="73" t="s">
        <v>373</v>
      </c>
      <c r="G225" s="31" t="s">
        <v>50</v>
      </c>
      <c r="H225" s="31" t="s">
        <v>98</v>
      </c>
      <c r="I225" s="73" t="s">
        <v>374</v>
      </c>
      <c r="J225" s="85">
        <v>44897100</v>
      </c>
      <c r="L225" s="85">
        <v>73081022</v>
      </c>
      <c r="N225" s="74" t="s">
        <v>375</v>
      </c>
      <c r="O225" s="75" t="str">
        <f>VLOOKUP(N225,[1]UPS_SETIIPRESS!$A$2:$B$527,2,0)</f>
        <v>CENTRO QUIRÚRGICO Y ANESTESIOLOGÍA</v>
      </c>
      <c r="P225" s="31">
        <v>25</v>
      </c>
      <c r="Q225" s="31" t="s">
        <v>63</v>
      </c>
      <c r="R225" s="31" t="s">
        <v>63</v>
      </c>
      <c r="S225" s="31" t="s">
        <v>54</v>
      </c>
      <c r="T225" s="31" t="s">
        <v>54</v>
      </c>
      <c r="U225" s="31" t="s">
        <v>312</v>
      </c>
      <c r="V225" s="31" t="s">
        <v>56</v>
      </c>
      <c r="AA225" s="31">
        <v>28290</v>
      </c>
    </row>
    <row r="226" spans="1:27" ht="13.5" x14ac:dyDescent="0.25">
      <c r="A226" s="30">
        <v>46050</v>
      </c>
      <c r="B226" s="71" t="s">
        <v>372</v>
      </c>
      <c r="C226" s="31" t="s">
        <v>67</v>
      </c>
      <c r="D226" s="72">
        <v>17024</v>
      </c>
      <c r="E226" s="31">
        <v>1</v>
      </c>
      <c r="F226" s="73" t="s">
        <v>373</v>
      </c>
      <c r="G226" s="31" t="s">
        <v>50</v>
      </c>
      <c r="H226" s="31" t="s">
        <v>98</v>
      </c>
      <c r="I226" s="73" t="s">
        <v>374</v>
      </c>
      <c r="J226" s="85">
        <v>44897100</v>
      </c>
      <c r="L226" s="85">
        <v>1101080</v>
      </c>
      <c r="N226" s="74" t="s">
        <v>375</v>
      </c>
      <c r="O226" s="75" t="str">
        <f>VLOOKUP(N226,[1]UPS_SETIIPRESS!$A$2:$B$527,2,0)</f>
        <v>CENTRO QUIRÚRGICO Y ANESTESIOLOGÍA</v>
      </c>
      <c r="P226" s="31">
        <v>51</v>
      </c>
      <c r="Q226" s="31" t="s">
        <v>63</v>
      </c>
      <c r="R226" s="31" t="s">
        <v>63</v>
      </c>
      <c r="S226" s="31" t="s">
        <v>54</v>
      </c>
      <c r="T226" s="31" t="s">
        <v>54</v>
      </c>
      <c r="U226" s="31" t="s">
        <v>313</v>
      </c>
      <c r="V226" s="31" t="s">
        <v>56</v>
      </c>
      <c r="AA226" s="31">
        <v>27814</v>
      </c>
    </row>
    <row r="227" spans="1:27" ht="13.5" x14ac:dyDescent="0.25">
      <c r="A227" s="30">
        <v>46050</v>
      </c>
      <c r="B227" s="71" t="s">
        <v>372</v>
      </c>
      <c r="C227" s="31" t="s">
        <v>49</v>
      </c>
      <c r="D227" s="72">
        <v>17024</v>
      </c>
      <c r="E227" s="31">
        <v>1</v>
      </c>
      <c r="F227" s="73" t="s">
        <v>373</v>
      </c>
      <c r="G227" s="31" t="s">
        <v>60</v>
      </c>
      <c r="H227" s="31" t="s">
        <v>240</v>
      </c>
      <c r="I227" s="73" t="s">
        <v>374</v>
      </c>
      <c r="J227" s="85">
        <v>18160488</v>
      </c>
      <c r="L227" s="85">
        <v>73555875</v>
      </c>
      <c r="N227" s="74" t="s">
        <v>375</v>
      </c>
      <c r="O227" s="75" t="str">
        <f>VLOOKUP(N227,[1]UPS_SETIIPRESS!$A$2:$B$527,2,0)</f>
        <v>CENTRO QUIRÚRGICO Y ANESTESIOLOGÍA</v>
      </c>
      <c r="P227" s="31">
        <v>16</v>
      </c>
      <c r="Q227" s="31" t="s">
        <v>63</v>
      </c>
      <c r="R227" s="31" t="s">
        <v>63</v>
      </c>
      <c r="S227" s="31" t="s">
        <v>54</v>
      </c>
      <c r="T227" s="31" t="s">
        <v>54</v>
      </c>
      <c r="U227" s="31" t="s">
        <v>314</v>
      </c>
      <c r="V227" s="31" t="s">
        <v>56</v>
      </c>
      <c r="AA227" s="31">
        <v>44970</v>
      </c>
    </row>
    <row r="228" spans="1:27" ht="13.5" x14ac:dyDescent="0.25">
      <c r="A228" s="30">
        <v>46050</v>
      </c>
      <c r="B228" s="71" t="s">
        <v>372</v>
      </c>
      <c r="C228" s="31" t="s">
        <v>127</v>
      </c>
      <c r="D228" s="72">
        <v>17024</v>
      </c>
      <c r="E228" s="31">
        <v>1</v>
      </c>
      <c r="F228" s="73" t="s">
        <v>373</v>
      </c>
      <c r="G228" s="31" t="s">
        <v>60</v>
      </c>
      <c r="H228" s="31" t="s">
        <v>51</v>
      </c>
      <c r="I228" s="73" t="s">
        <v>374</v>
      </c>
      <c r="J228" s="85">
        <v>21866455</v>
      </c>
      <c r="L228" s="85">
        <v>8379630</v>
      </c>
      <c r="N228" s="74" t="s">
        <v>375</v>
      </c>
      <c r="O228" s="75" t="str">
        <f>VLOOKUP(N228,[1]UPS_SETIIPRESS!$A$2:$B$527,2,0)</f>
        <v>CENTRO QUIRÚRGICO Y ANESTESIOLOGÍA</v>
      </c>
      <c r="P228" s="31">
        <v>71</v>
      </c>
      <c r="Q228" s="31" t="s">
        <v>50</v>
      </c>
      <c r="R228" s="31" t="s">
        <v>103</v>
      </c>
      <c r="S228" s="31" t="s">
        <v>58</v>
      </c>
      <c r="T228" s="31" t="s">
        <v>54</v>
      </c>
      <c r="U228" s="31" t="s">
        <v>314</v>
      </c>
      <c r="V228" s="31" t="s">
        <v>56</v>
      </c>
      <c r="AA228" s="31">
        <v>44970</v>
      </c>
    </row>
    <row r="229" spans="1:27" ht="13.5" x14ac:dyDescent="0.25">
      <c r="A229" s="30">
        <v>46050</v>
      </c>
      <c r="B229" s="71" t="s">
        <v>372</v>
      </c>
      <c r="C229" s="31" t="s">
        <v>127</v>
      </c>
      <c r="D229" s="72">
        <v>17024</v>
      </c>
      <c r="E229" s="31">
        <v>1</v>
      </c>
      <c r="F229" s="73" t="s">
        <v>373</v>
      </c>
      <c r="G229" s="31" t="s">
        <v>60</v>
      </c>
      <c r="H229" s="31" t="s">
        <v>51</v>
      </c>
      <c r="I229" s="73" t="s">
        <v>374</v>
      </c>
      <c r="J229" s="85">
        <v>21866455</v>
      </c>
      <c r="L229" s="85">
        <v>25750050</v>
      </c>
      <c r="N229" s="74" t="s">
        <v>375</v>
      </c>
      <c r="O229" s="75" t="str">
        <f>VLOOKUP(N229,[1]UPS_SETIIPRESS!$A$2:$B$527,2,0)</f>
        <v>CENTRO QUIRÚRGICO Y ANESTESIOLOGÍA</v>
      </c>
      <c r="P229" s="31">
        <v>79</v>
      </c>
      <c r="Q229" s="31" t="s">
        <v>50</v>
      </c>
      <c r="R229" s="31" t="s">
        <v>103</v>
      </c>
      <c r="S229" s="31" t="s">
        <v>58</v>
      </c>
      <c r="T229" s="31" t="s">
        <v>54</v>
      </c>
      <c r="U229" s="31" t="s">
        <v>276</v>
      </c>
      <c r="V229" s="31" t="s">
        <v>56</v>
      </c>
      <c r="AA229" s="31">
        <v>49000</v>
      </c>
    </row>
    <row r="230" spans="1:27" ht="13.5" x14ac:dyDescent="0.25">
      <c r="A230" s="30">
        <v>46050</v>
      </c>
      <c r="B230" s="71" t="s">
        <v>372</v>
      </c>
      <c r="C230" s="31" t="s">
        <v>49</v>
      </c>
      <c r="D230" s="72">
        <v>17024</v>
      </c>
      <c r="E230" s="31">
        <v>1</v>
      </c>
      <c r="F230" s="73" t="s">
        <v>373</v>
      </c>
      <c r="G230" s="31" t="s">
        <v>60</v>
      </c>
      <c r="H230" s="31" t="s">
        <v>317</v>
      </c>
      <c r="I230" s="73" t="s">
        <v>374</v>
      </c>
      <c r="J230" s="85">
        <v>6629739</v>
      </c>
      <c r="L230" s="85">
        <v>46212257</v>
      </c>
      <c r="N230" s="74" t="s">
        <v>375</v>
      </c>
      <c r="O230" s="75" t="str">
        <f>VLOOKUP(N230,[1]UPS_SETIIPRESS!$A$2:$B$527,2,0)</f>
        <v>CENTRO QUIRÚRGICO Y ANESTESIOLOGÍA</v>
      </c>
      <c r="P230" s="31">
        <v>35</v>
      </c>
      <c r="Q230" s="31" t="s">
        <v>63</v>
      </c>
      <c r="R230" s="31" t="s">
        <v>63</v>
      </c>
      <c r="S230" s="31" t="s">
        <v>54</v>
      </c>
      <c r="T230" s="31" t="s">
        <v>54</v>
      </c>
      <c r="U230" s="31" t="s">
        <v>318</v>
      </c>
      <c r="V230" s="31" t="s">
        <v>56</v>
      </c>
      <c r="AA230" s="31">
        <v>58120</v>
      </c>
    </row>
    <row r="231" spans="1:27" ht="13.5" x14ac:dyDescent="0.25">
      <c r="A231" s="30">
        <v>46051</v>
      </c>
      <c r="B231" s="71" t="s">
        <v>372</v>
      </c>
      <c r="C231" s="31" t="s">
        <v>50</v>
      </c>
      <c r="D231" s="72">
        <v>17024</v>
      </c>
      <c r="E231" s="31">
        <v>1</v>
      </c>
      <c r="F231" s="73" t="s">
        <v>373</v>
      </c>
      <c r="G231" s="31" t="s">
        <v>50</v>
      </c>
      <c r="H231" s="31" t="s">
        <v>117</v>
      </c>
      <c r="I231" s="73" t="s">
        <v>374</v>
      </c>
      <c r="J231" s="85">
        <v>42948211</v>
      </c>
      <c r="L231" s="85">
        <v>73770005</v>
      </c>
      <c r="N231" s="74" t="s">
        <v>375</v>
      </c>
      <c r="O231" s="75" t="str">
        <f>VLOOKUP(N231,[1]UPS_SETIIPRESS!$A$2:$B$527,2,0)</f>
        <v>CENTRO QUIRÚRGICO Y ANESTESIOLOGÍA</v>
      </c>
      <c r="P231" s="31">
        <v>30</v>
      </c>
      <c r="Q231" s="31" t="s">
        <v>50</v>
      </c>
      <c r="R231" s="31" t="s">
        <v>70</v>
      </c>
      <c r="S231" s="31" t="s">
        <v>54</v>
      </c>
      <c r="T231" s="31" t="s">
        <v>54</v>
      </c>
      <c r="U231" s="31" t="s">
        <v>89</v>
      </c>
      <c r="V231" s="31" t="s">
        <v>56</v>
      </c>
      <c r="AA231" s="31">
        <v>22842</v>
      </c>
    </row>
    <row r="232" spans="1:27" ht="13.5" x14ac:dyDescent="0.25">
      <c r="A232" s="30">
        <v>46051</v>
      </c>
      <c r="B232" s="71" t="s">
        <v>372</v>
      </c>
      <c r="C232" s="31" t="s">
        <v>50</v>
      </c>
      <c r="D232" s="72">
        <v>17024</v>
      </c>
      <c r="E232" s="31">
        <v>1</v>
      </c>
      <c r="F232" s="73" t="s">
        <v>373</v>
      </c>
      <c r="G232" s="31" t="s">
        <v>60</v>
      </c>
      <c r="H232" s="31" t="s">
        <v>319</v>
      </c>
      <c r="I232" s="73" t="s">
        <v>374</v>
      </c>
      <c r="J232" s="85">
        <v>6289238</v>
      </c>
      <c r="L232" s="85">
        <v>40792358</v>
      </c>
      <c r="N232" s="74" t="s">
        <v>375</v>
      </c>
      <c r="O232" s="75" t="str">
        <f>VLOOKUP(N232,[1]UPS_SETIIPRESS!$A$2:$B$527,2,0)</f>
        <v>CENTRO QUIRÚRGICO Y ANESTESIOLOGÍA</v>
      </c>
      <c r="P232" s="31">
        <v>83</v>
      </c>
      <c r="Q232" s="31" t="s">
        <v>50</v>
      </c>
      <c r="R232" s="31" t="s">
        <v>53</v>
      </c>
      <c r="S232" s="31" t="s">
        <v>54</v>
      </c>
      <c r="T232" s="31" t="s">
        <v>54</v>
      </c>
      <c r="U232" s="31" t="s">
        <v>320</v>
      </c>
      <c r="V232" s="31" t="s">
        <v>56</v>
      </c>
      <c r="AA232" s="31">
        <v>11406</v>
      </c>
    </row>
    <row r="233" spans="1:27" ht="13.5" x14ac:dyDescent="0.25">
      <c r="A233" s="30">
        <v>46051</v>
      </c>
      <c r="B233" s="71" t="s">
        <v>372</v>
      </c>
      <c r="C233" s="31" t="s">
        <v>93</v>
      </c>
      <c r="D233" s="72">
        <v>17024</v>
      </c>
      <c r="E233" s="31">
        <v>1</v>
      </c>
      <c r="F233" s="73" t="s">
        <v>373</v>
      </c>
      <c r="G233" s="31" t="s">
        <v>60</v>
      </c>
      <c r="H233" s="31" t="s">
        <v>101</v>
      </c>
      <c r="I233" s="73" t="s">
        <v>374</v>
      </c>
      <c r="J233" s="85">
        <v>46041788</v>
      </c>
      <c r="L233" s="85">
        <v>83376449</v>
      </c>
      <c r="N233" s="74" t="s">
        <v>375</v>
      </c>
      <c r="O233" s="75" t="str">
        <f>VLOOKUP(N233,[1]UPS_SETIIPRESS!$A$2:$B$527,2,0)</f>
        <v>CENTRO QUIRÚRGICO Y ANESTESIOLOGÍA</v>
      </c>
      <c r="P233" s="31">
        <v>87</v>
      </c>
      <c r="Q233" s="31" t="s">
        <v>63</v>
      </c>
      <c r="R233" s="31" t="s">
        <v>63</v>
      </c>
      <c r="S233" s="31" t="s">
        <v>54</v>
      </c>
      <c r="T233" s="31" t="s">
        <v>54</v>
      </c>
      <c r="U233" s="31" t="s">
        <v>321</v>
      </c>
      <c r="V233" s="31" t="s">
        <v>56</v>
      </c>
      <c r="AA233" s="31">
        <v>27130</v>
      </c>
    </row>
    <row r="234" spans="1:27" ht="13.5" x14ac:dyDescent="0.25">
      <c r="A234" s="30">
        <v>46051</v>
      </c>
      <c r="B234" s="71" t="s">
        <v>372</v>
      </c>
      <c r="C234" s="31" t="s">
        <v>97</v>
      </c>
      <c r="D234" s="72">
        <v>17024</v>
      </c>
      <c r="E234" s="31">
        <v>1</v>
      </c>
      <c r="F234" s="73" t="s">
        <v>373</v>
      </c>
      <c r="G234" s="31" t="s">
        <v>60</v>
      </c>
      <c r="H234" s="31" t="s">
        <v>101</v>
      </c>
      <c r="I234" s="73" t="s">
        <v>374</v>
      </c>
      <c r="J234" s="85">
        <v>46041788</v>
      </c>
      <c r="L234" s="85">
        <v>44251084</v>
      </c>
      <c r="N234" s="74" t="s">
        <v>375</v>
      </c>
      <c r="O234" s="75" t="str">
        <f>VLOOKUP(N234,[1]UPS_SETIIPRESS!$A$2:$B$527,2,0)</f>
        <v>CENTRO QUIRÚRGICO Y ANESTESIOLOGÍA</v>
      </c>
      <c r="P234" s="31">
        <v>63</v>
      </c>
      <c r="Q234" s="31" t="s">
        <v>50</v>
      </c>
      <c r="R234" s="31" t="s">
        <v>70</v>
      </c>
      <c r="S234" s="31" t="s">
        <v>54</v>
      </c>
      <c r="T234" s="31" t="s">
        <v>54</v>
      </c>
      <c r="U234" s="31" t="s">
        <v>102</v>
      </c>
      <c r="V234" s="31" t="s">
        <v>56</v>
      </c>
      <c r="AA234" s="31">
        <v>27134</v>
      </c>
    </row>
    <row r="235" spans="1:27" ht="13.5" x14ac:dyDescent="0.25">
      <c r="A235" s="30">
        <v>46051</v>
      </c>
      <c r="B235" s="71" t="s">
        <v>372</v>
      </c>
      <c r="C235" s="31" t="s">
        <v>234</v>
      </c>
      <c r="D235" s="72">
        <v>17024</v>
      </c>
      <c r="E235" s="31">
        <v>1</v>
      </c>
      <c r="F235" s="73" t="s">
        <v>373</v>
      </c>
      <c r="G235" s="31" t="s">
        <v>50</v>
      </c>
      <c r="H235" s="31" t="s">
        <v>119</v>
      </c>
      <c r="I235" s="73" t="s">
        <v>374</v>
      </c>
      <c r="J235" s="85">
        <v>16654486</v>
      </c>
      <c r="L235" s="85">
        <v>43659967</v>
      </c>
      <c r="N235" s="74" t="s">
        <v>375</v>
      </c>
      <c r="O235" s="75" t="str">
        <f>VLOOKUP(N235,[1]UPS_SETIIPRESS!$A$2:$B$527,2,0)</f>
        <v>CENTRO QUIRÚRGICO Y ANESTESIOLOGÍA</v>
      </c>
      <c r="P235" s="31">
        <v>70</v>
      </c>
      <c r="Q235" s="31" t="s">
        <v>50</v>
      </c>
      <c r="R235" s="31" t="s">
        <v>53</v>
      </c>
      <c r="S235" s="31" t="s">
        <v>54</v>
      </c>
      <c r="T235" s="31" t="s">
        <v>54</v>
      </c>
      <c r="U235" s="31" t="s">
        <v>169</v>
      </c>
      <c r="V235" s="31" t="s">
        <v>56</v>
      </c>
      <c r="AA235" s="31">
        <v>55866</v>
      </c>
    </row>
    <row r="236" spans="1:27" ht="13.5" x14ac:dyDescent="0.25">
      <c r="A236" s="30">
        <v>46051</v>
      </c>
      <c r="B236" s="71" t="s">
        <v>372</v>
      </c>
      <c r="C236" s="31" t="s">
        <v>234</v>
      </c>
      <c r="D236" s="72">
        <v>17024</v>
      </c>
      <c r="E236" s="31">
        <v>1</v>
      </c>
      <c r="F236" s="73" t="s">
        <v>373</v>
      </c>
      <c r="G236" s="31" t="s">
        <v>50</v>
      </c>
      <c r="H236" s="31" t="s">
        <v>120</v>
      </c>
      <c r="I236" s="73" t="s">
        <v>374</v>
      </c>
      <c r="J236" s="85">
        <v>42111744</v>
      </c>
      <c r="L236" s="85">
        <v>42206649</v>
      </c>
      <c r="N236" s="74" t="s">
        <v>375</v>
      </c>
      <c r="O236" s="75" t="str">
        <f>VLOOKUP(N236,[1]UPS_SETIIPRESS!$A$2:$B$527,2,0)</f>
        <v>CENTRO QUIRÚRGICO Y ANESTESIOLOGÍA</v>
      </c>
      <c r="P236" s="31">
        <v>65</v>
      </c>
      <c r="Q236" s="31" t="s">
        <v>50</v>
      </c>
      <c r="R236" s="31" t="s">
        <v>103</v>
      </c>
      <c r="S236" s="31" t="s">
        <v>54</v>
      </c>
      <c r="T236" s="31" t="s">
        <v>54</v>
      </c>
      <c r="U236" s="31" t="s">
        <v>84</v>
      </c>
      <c r="V236" s="31" t="s">
        <v>56</v>
      </c>
      <c r="AA236" s="31">
        <v>52601</v>
      </c>
    </row>
    <row r="237" spans="1:27" ht="13.5" x14ac:dyDescent="0.25">
      <c r="A237" s="30">
        <v>46050</v>
      </c>
      <c r="B237" s="71" t="s">
        <v>372</v>
      </c>
      <c r="C237" s="31" t="s">
        <v>49</v>
      </c>
      <c r="D237" s="72">
        <v>17024</v>
      </c>
      <c r="E237" s="31">
        <v>1</v>
      </c>
      <c r="F237" s="73" t="s">
        <v>373</v>
      </c>
      <c r="G237" s="31" t="s">
        <v>50</v>
      </c>
      <c r="H237" s="31" t="s">
        <v>221</v>
      </c>
      <c r="I237" s="73" t="s">
        <v>374</v>
      </c>
      <c r="J237" s="85">
        <v>43965076</v>
      </c>
      <c r="L237" s="85">
        <v>40658099</v>
      </c>
      <c r="N237" s="74" t="s">
        <v>375</v>
      </c>
      <c r="O237" s="75" t="str">
        <f>VLOOKUP(N237,[1]UPS_SETIIPRESS!$A$2:$B$527,2,0)</f>
        <v>CENTRO QUIRÚRGICO Y ANESTESIOLOGÍA</v>
      </c>
      <c r="P237" s="31">
        <v>45</v>
      </c>
      <c r="Q237" s="31" t="s">
        <v>50</v>
      </c>
      <c r="R237" s="31" t="s">
        <v>53</v>
      </c>
      <c r="S237" s="31" t="s">
        <v>54</v>
      </c>
      <c r="T237" s="31" t="s">
        <v>54</v>
      </c>
      <c r="U237" s="31" t="s">
        <v>323</v>
      </c>
      <c r="V237" s="31" t="s">
        <v>56</v>
      </c>
      <c r="AA237" s="31">
        <v>27650</v>
      </c>
    </row>
    <row r="238" spans="1:27" ht="13.5" x14ac:dyDescent="0.25">
      <c r="A238" s="30">
        <v>46051</v>
      </c>
      <c r="B238" s="71" t="s">
        <v>372</v>
      </c>
      <c r="C238" s="31" t="s">
        <v>127</v>
      </c>
      <c r="D238" s="72">
        <v>17024</v>
      </c>
      <c r="E238" s="31">
        <v>1</v>
      </c>
      <c r="F238" s="73" t="s">
        <v>373</v>
      </c>
      <c r="G238" s="31" t="s">
        <v>60</v>
      </c>
      <c r="H238" s="31" t="s">
        <v>152</v>
      </c>
      <c r="I238" s="73" t="s">
        <v>374</v>
      </c>
      <c r="J238" s="85">
        <v>9652446</v>
      </c>
      <c r="L238" s="85">
        <v>10129682</v>
      </c>
      <c r="N238" s="74" t="s">
        <v>375</v>
      </c>
      <c r="O238" s="75" t="str">
        <f>VLOOKUP(N238,[1]UPS_SETIIPRESS!$A$2:$B$527,2,0)</f>
        <v>CENTRO QUIRÚRGICO Y ANESTESIOLOGÍA</v>
      </c>
      <c r="P238" s="31">
        <v>54</v>
      </c>
      <c r="Q238" s="31" t="s">
        <v>63</v>
      </c>
      <c r="R238" s="31" t="s">
        <v>63</v>
      </c>
      <c r="S238" s="31" t="s">
        <v>54</v>
      </c>
      <c r="T238" s="31" t="s">
        <v>54</v>
      </c>
      <c r="U238" s="31" t="s">
        <v>325</v>
      </c>
      <c r="V238" s="31" t="s">
        <v>56</v>
      </c>
      <c r="AA238" s="31" t="s">
        <v>326</v>
      </c>
    </row>
    <row r="239" spans="1:27" ht="13.5" x14ac:dyDescent="0.25">
      <c r="A239" s="30">
        <v>46052</v>
      </c>
      <c r="B239" s="71" t="s">
        <v>372</v>
      </c>
      <c r="C239" s="31" t="s">
        <v>59</v>
      </c>
      <c r="D239" s="72">
        <v>17024</v>
      </c>
      <c r="E239" s="31">
        <v>1</v>
      </c>
      <c r="F239" s="73" t="s">
        <v>373</v>
      </c>
      <c r="G239" s="31" t="s">
        <v>60</v>
      </c>
      <c r="H239" s="31" t="s">
        <v>61</v>
      </c>
      <c r="I239" s="73" t="s">
        <v>374</v>
      </c>
      <c r="J239" s="85">
        <v>21523144</v>
      </c>
      <c r="L239" s="85" t="s">
        <v>217</v>
      </c>
      <c r="N239" s="74" t="s">
        <v>375</v>
      </c>
      <c r="O239" s="75" t="str">
        <f>VLOOKUP(N239,[1]UPS_SETIIPRESS!$A$2:$B$527,2,0)</f>
        <v>CENTRO QUIRÚRGICO Y ANESTESIOLOGÍA</v>
      </c>
      <c r="P239" s="31">
        <v>59</v>
      </c>
      <c r="Q239" s="31" t="s">
        <v>63</v>
      </c>
      <c r="R239" s="31" t="s">
        <v>63</v>
      </c>
      <c r="S239" s="31" t="s">
        <v>54</v>
      </c>
      <c r="T239" s="31" t="s">
        <v>54</v>
      </c>
      <c r="U239" s="31" t="s">
        <v>64</v>
      </c>
      <c r="V239" s="31" t="s">
        <v>56</v>
      </c>
      <c r="AA239" s="31">
        <v>90874</v>
      </c>
    </row>
    <row r="240" spans="1:27" ht="13.5" x14ac:dyDescent="0.25">
      <c r="A240" s="30">
        <v>46052</v>
      </c>
      <c r="B240" s="71" t="s">
        <v>372</v>
      </c>
      <c r="C240" s="31" t="s">
        <v>67</v>
      </c>
      <c r="D240" s="72">
        <v>17024</v>
      </c>
      <c r="E240" s="31">
        <v>1</v>
      </c>
      <c r="F240" s="73" t="s">
        <v>373</v>
      </c>
      <c r="G240" s="31" t="s">
        <v>60</v>
      </c>
      <c r="H240" s="31" t="s">
        <v>61</v>
      </c>
      <c r="I240" s="73" t="s">
        <v>374</v>
      </c>
      <c r="J240" s="85">
        <v>21523144</v>
      </c>
      <c r="L240" s="85">
        <v>76540189</v>
      </c>
      <c r="N240" s="74" t="s">
        <v>375</v>
      </c>
      <c r="O240" s="75" t="str">
        <f>VLOOKUP(N240,[1]UPS_SETIIPRESS!$A$2:$B$527,2,0)</f>
        <v>CENTRO QUIRÚRGICO Y ANESTESIOLOGÍA</v>
      </c>
      <c r="P240" s="31">
        <v>24</v>
      </c>
      <c r="Q240" s="31" t="s">
        <v>50</v>
      </c>
      <c r="R240" s="31" t="s">
        <v>63</v>
      </c>
      <c r="S240" s="31" t="s">
        <v>54</v>
      </c>
      <c r="T240" s="31" t="s">
        <v>54</v>
      </c>
      <c r="U240" s="31" t="s">
        <v>64</v>
      </c>
      <c r="V240" s="31" t="s">
        <v>56</v>
      </c>
      <c r="AA240" s="31">
        <v>90874</v>
      </c>
    </row>
    <row r="241" spans="1:27" ht="13.5" x14ac:dyDescent="0.25">
      <c r="A241" s="30">
        <v>46052</v>
      </c>
      <c r="B241" s="71" t="s">
        <v>372</v>
      </c>
      <c r="C241" s="31" t="s">
        <v>69</v>
      </c>
      <c r="D241" s="72">
        <v>17024</v>
      </c>
      <c r="E241" s="31">
        <v>1</v>
      </c>
      <c r="F241" s="73" t="s">
        <v>373</v>
      </c>
      <c r="G241" s="31" t="s">
        <v>60</v>
      </c>
      <c r="H241" s="31" t="s">
        <v>61</v>
      </c>
      <c r="I241" s="73" t="s">
        <v>374</v>
      </c>
      <c r="J241" s="85">
        <v>21523144</v>
      </c>
      <c r="L241" s="85">
        <v>10882673</v>
      </c>
      <c r="N241" s="74" t="s">
        <v>375</v>
      </c>
      <c r="O241" s="75" t="str">
        <f>VLOOKUP(N241,[1]UPS_SETIIPRESS!$A$2:$B$527,2,0)</f>
        <v>CENTRO QUIRÚRGICO Y ANESTESIOLOGÍA</v>
      </c>
      <c r="P241" s="31">
        <v>49</v>
      </c>
      <c r="Q241" s="31" t="s">
        <v>50</v>
      </c>
      <c r="R241" s="31" t="s">
        <v>65</v>
      </c>
      <c r="S241" s="31" t="s">
        <v>54</v>
      </c>
      <c r="T241" s="31" t="s">
        <v>54</v>
      </c>
      <c r="U241" s="31" t="s">
        <v>64</v>
      </c>
      <c r="V241" s="31" t="s">
        <v>56</v>
      </c>
      <c r="AA241" s="31">
        <v>90874</v>
      </c>
    </row>
    <row r="242" spans="1:27" ht="13.5" x14ac:dyDescent="0.25">
      <c r="A242" s="30">
        <v>46052</v>
      </c>
      <c r="B242" s="71" t="s">
        <v>372</v>
      </c>
      <c r="C242" s="31" t="s">
        <v>59</v>
      </c>
      <c r="D242" s="72">
        <v>17024</v>
      </c>
      <c r="E242" s="31">
        <v>1</v>
      </c>
      <c r="F242" s="73" t="s">
        <v>373</v>
      </c>
      <c r="G242" s="31" t="s">
        <v>60</v>
      </c>
      <c r="H242" s="31" t="s">
        <v>290</v>
      </c>
      <c r="I242" s="73" t="s">
        <v>374</v>
      </c>
      <c r="J242" s="85">
        <v>71094795</v>
      </c>
      <c r="L242" s="85">
        <v>15280201</v>
      </c>
      <c r="N242" s="74" t="s">
        <v>375</v>
      </c>
      <c r="O242" s="75" t="str">
        <f>VLOOKUP(N242,[1]UPS_SETIIPRESS!$A$2:$B$527,2,0)</f>
        <v>CENTRO QUIRÚRGICO Y ANESTESIOLOGÍA</v>
      </c>
      <c r="P242" s="31">
        <v>93</v>
      </c>
      <c r="Q242" s="31" t="s">
        <v>50</v>
      </c>
      <c r="R242" s="31" t="s">
        <v>63</v>
      </c>
      <c r="S242" s="31" t="s">
        <v>54</v>
      </c>
      <c r="T242" s="31" t="s">
        <v>54</v>
      </c>
      <c r="U242" s="31" t="s">
        <v>126</v>
      </c>
      <c r="V242" s="31" t="s">
        <v>56</v>
      </c>
      <c r="AA242" s="31">
        <v>66982</v>
      </c>
    </row>
    <row r="243" spans="1:27" ht="13.5" x14ac:dyDescent="0.25">
      <c r="A243" s="30">
        <v>46052</v>
      </c>
      <c r="B243" s="71" t="s">
        <v>372</v>
      </c>
      <c r="C243" s="31" t="s">
        <v>67</v>
      </c>
      <c r="D243" s="72">
        <v>17024</v>
      </c>
      <c r="E243" s="31">
        <v>1</v>
      </c>
      <c r="F243" s="73" t="s">
        <v>373</v>
      </c>
      <c r="G243" s="31" t="s">
        <v>60</v>
      </c>
      <c r="H243" s="31" t="s">
        <v>290</v>
      </c>
      <c r="I243" s="73" t="s">
        <v>374</v>
      </c>
      <c r="J243" s="85">
        <v>71094795</v>
      </c>
      <c r="L243" s="85">
        <v>9883162</v>
      </c>
      <c r="N243" s="74" t="s">
        <v>375</v>
      </c>
      <c r="O243" s="75" t="str">
        <f>VLOOKUP(N243,[1]UPS_SETIIPRESS!$A$2:$B$527,2,0)</f>
        <v>CENTRO QUIRÚRGICO Y ANESTESIOLOGÍA</v>
      </c>
      <c r="P243" s="31">
        <v>65</v>
      </c>
      <c r="Q243" s="31" t="s">
        <v>50</v>
      </c>
      <c r="R243" s="31" t="s">
        <v>103</v>
      </c>
      <c r="S243" s="31" t="s">
        <v>54</v>
      </c>
      <c r="T243" s="31" t="s">
        <v>54</v>
      </c>
      <c r="U243" s="31" t="s">
        <v>126</v>
      </c>
      <c r="V243" s="31" t="s">
        <v>56</v>
      </c>
      <c r="AA243" s="31">
        <v>66982</v>
      </c>
    </row>
    <row r="244" spans="1:27" ht="13.5" x14ac:dyDescent="0.25">
      <c r="A244" s="30">
        <v>46052</v>
      </c>
      <c r="B244" s="71" t="s">
        <v>372</v>
      </c>
      <c r="C244" s="31" t="s">
        <v>93</v>
      </c>
      <c r="D244" s="72">
        <v>17024</v>
      </c>
      <c r="E244" s="31">
        <v>1</v>
      </c>
      <c r="F244" s="73" t="s">
        <v>373</v>
      </c>
      <c r="G244" s="31" t="s">
        <v>60</v>
      </c>
      <c r="H244" s="31" t="s">
        <v>162</v>
      </c>
      <c r="I244" s="73" t="s">
        <v>374</v>
      </c>
      <c r="J244" s="85">
        <v>9398424</v>
      </c>
      <c r="L244" s="85">
        <v>10674279</v>
      </c>
      <c r="N244" s="74" t="s">
        <v>375</v>
      </c>
      <c r="O244" s="75" t="str">
        <f>VLOOKUP(N244,[1]UPS_SETIIPRESS!$A$2:$B$527,2,0)</f>
        <v>CENTRO QUIRÚRGICO Y ANESTESIOLOGÍA</v>
      </c>
      <c r="P244" s="31">
        <v>49</v>
      </c>
      <c r="Q244" s="31" t="s">
        <v>50</v>
      </c>
      <c r="R244" s="31" t="s">
        <v>65</v>
      </c>
      <c r="S244" s="31" t="s">
        <v>54</v>
      </c>
      <c r="T244" s="31" t="s">
        <v>54</v>
      </c>
      <c r="U244" s="31" t="s">
        <v>102</v>
      </c>
      <c r="V244" s="31" t="s">
        <v>56</v>
      </c>
      <c r="AA244" s="31">
        <v>27447</v>
      </c>
    </row>
    <row r="245" spans="1:27" ht="13.5" x14ac:dyDescent="0.25">
      <c r="A245" s="30">
        <v>46052</v>
      </c>
      <c r="B245" s="71" t="s">
        <v>372</v>
      </c>
      <c r="C245" s="31" t="s">
        <v>97</v>
      </c>
      <c r="D245" s="72">
        <v>17024</v>
      </c>
      <c r="E245" s="31">
        <v>1</v>
      </c>
      <c r="F245" s="73" t="s">
        <v>373</v>
      </c>
      <c r="G245" s="31" t="s">
        <v>50</v>
      </c>
      <c r="H245" s="31" t="s">
        <v>302</v>
      </c>
      <c r="I245" s="73" t="s">
        <v>374</v>
      </c>
      <c r="J245" s="85">
        <v>11915664</v>
      </c>
      <c r="L245" s="85">
        <v>42198431</v>
      </c>
      <c r="N245" s="74" t="s">
        <v>375</v>
      </c>
      <c r="O245" s="75" t="str">
        <f>VLOOKUP(N245,[1]UPS_SETIIPRESS!$A$2:$B$527,2,0)</f>
        <v>CENTRO QUIRÚRGICO Y ANESTESIOLOGÍA</v>
      </c>
      <c r="P245" s="31">
        <v>76</v>
      </c>
      <c r="Q245" s="31" t="s">
        <v>50</v>
      </c>
      <c r="R245" s="31" t="s">
        <v>53</v>
      </c>
      <c r="S245" s="31" t="s">
        <v>54</v>
      </c>
      <c r="T245" s="31" t="s">
        <v>54</v>
      </c>
      <c r="U245" s="31" t="s">
        <v>303</v>
      </c>
      <c r="V245" s="31" t="s">
        <v>56</v>
      </c>
      <c r="AA245" s="31">
        <v>261600</v>
      </c>
    </row>
    <row r="246" spans="1:27" ht="13.5" x14ac:dyDescent="0.25">
      <c r="A246" s="30">
        <v>46052</v>
      </c>
      <c r="B246" s="71" t="s">
        <v>372</v>
      </c>
      <c r="C246" s="31" t="s">
        <v>100</v>
      </c>
      <c r="D246" s="72">
        <v>17024</v>
      </c>
      <c r="E246" s="31">
        <v>1</v>
      </c>
      <c r="F246" s="73" t="s">
        <v>373</v>
      </c>
      <c r="G246" s="31" t="s">
        <v>50</v>
      </c>
      <c r="H246" s="31" t="s">
        <v>271</v>
      </c>
      <c r="I246" s="73" t="s">
        <v>374</v>
      </c>
      <c r="J246" s="85">
        <v>47247252</v>
      </c>
      <c r="L246" s="85">
        <v>66796744</v>
      </c>
      <c r="N246" s="74" t="s">
        <v>375</v>
      </c>
      <c r="O246" s="75" t="str">
        <f>VLOOKUP(N246,[1]UPS_SETIIPRESS!$A$2:$B$527,2,0)</f>
        <v>CENTRO QUIRÚRGICO Y ANESTESIOLOGÍA</v>
      </c>
      <c r="P246" s="31">
        <v>57</v>
      </c>
      <c r="Q246" s="31" t="s">
        <v>50</v>
      </c>
      <c r="R246" s="31" t="s">
        <v>65</v>
      </c>
      <c r="S246" s="31" t="s">
        <v>54</v>
      </c>
      <c r="T246" s="31" t="s">
        <v>54</v>
      </c>
      <c r="U246" s="31" t="s">
        <v>328</v>
      </c>
      <c r="V246" s="31" t="s">
        <v>56</v>
      </c>
      <c r="AA246" s="31">
        <v>26952</v>
      </c>
    </row>
    <row r="247" spans="1:27" ht="13.5" x14ac:dyDescent="0.25">
      <c r="A247" s="30">
        <v>46052</v>
      </c>
      <c r="B247" s="71" t="s">
        <v>372</v>
      </c>
      <c r="C247" s="31" t="s">
        <v>59</v>
      </c>
      <c r="D247" s="72">
        <v>17024</v>
      </c>
      <c r="E247" s="31">
        <v>1</v>
      </c>
      <c r="F247" s="73" t="s">
        <v>373</v>
      </c>
      <c r="G247" s="31" t="s">
        <v>60</v>
      </c>
      <c r="H247" s="31" t="s">
        <v>329</v>
      </c>
      <c r="I247" s="73" t="s">
        <v>374</v>
      </c>
      <c r="J247" s="85">
        <v>25500305</v>
      </c>
      <c r="L247" s="85">
        <v>43430833</v>
      </c>
      <c r="N247" s="74" t="s">
        <v>375</v>
      </c>
      <c r="O247" s="75" t="str">
        <f>VLOOKUP(N247,[1]UPS_SETIIPRESS!$A$2:$B$527,2,0)</f>
        <v>CENTRO QUIRÚRGICO Y ANESTESIOLOGÍA</v>
      </c>
      <c r="P247" s="31">
        <v>67</v>
      </c>
      <c r="Q247" s="31" t="s">
        <v>50</v>
      </c>
      <c r="R247" s="31" t="s">
        <v>103</v>
      </c>
      <c r="S247" s="31" t="s">
        <v>54</v>
      </c>
      <c r="T247" s="31" t="s">
        <v>54</v>
      </c>
      <c r="U247" s="31" t="s">
        <v>107</v>
      </c>
      <c r="V247" s="31" t="s">
        <v>56</v>
      </c>
      <c r="AA247" s="31">
        <v>37220</v>
      </c>
    </row>
    <row r="248" spans="1:27" ht="13.5" x14ac:dyDescent="0.25">
      <c r="A248" s="30">
        <v>46052</v>
      </c>
      <c r="B248" s="71" t="s">
        <v>372</v>
      </c>
      <c r="C248" s="31" t="s">
        <v>93</v>
      </c>
      <c r="D248" s="72">
        <v>17024</v>
      </c>
      <c r="E248" s="31">
        <v>1</v>
      </c>
      <c r="F248" s="73" t="s">
        <v>373</v>
      </c>
      <c r="G248" s="31" t="s">
        <v>60</v>
      </c>
      <c r="H248" s="31" t="s">
        <v>159</v>
      </c>
      <c r="I248" s="73" t="s">
        <v>374</v>
      </c>
      <c r="J248" s="85">
        <v>22254408</v>
      </c>
      <c r="L248" s="85">
        <v>43291890</v>
      </c>
      <c r="N248" s="74" t="s">
        <v>375</v>
      </c>
      <c r="O248" s="75" t="str">
        <f>VLOOKUP(N248,[1]UPS_SETIIPRESS!$A$2:$B$527,2,0)</f>
        <v>CENTRO QUIRÚRGICO Y ANESTESIOLOGÍA</v>
      </c>
      <c r="P248" s="31">
        <v>61</v>
      </c>
      <c r="Q248" s="31" t="s">
        <v>50</v>
      </c>
      <c r="R248" s="31" t="s">
        <v>103</v>
      </c>
      <c r="S248" s="31" t="s">
        <v>54</v>
      </c>
      <c r="T248" s="31" t="s">
        <v>54</v>
      </c>
      <c r="U248" s="31" t="s">
        <v>109</v>
      </c>
      <c r="V248" s="31" t="s">
        <v>56</v>
      </c>
      <c r="AA248" s="31">
        <v>47957</v>
      </c>
    </row>
    <row r="249" spans="1:27" ht="13.5" x14ac:dyDescent="0.25">
      <c r="A249" s="30">
        <v>46052</v>
      </c>
      <c r="B249" s="71" t="s">
        <v>372</v>
      </c>
      <c r="C249" s="31" t="s">
        <v>97</v>
      </c>
      <c r="D249" s="72">
        <v>17024</v>
      </c>
      <c r="E249" s="31">
        <v>1</v>
      </c>
      <c r="F249" s="73" t="s">
        <v>373</v>
      </c>
      <c r="G249" s="31" t="s">
        <v>60</v>
      </c>
      <c r="H249" s="31" t="s">
        <v>51</v>
      </c>
      <c r="I249" s="73" t="s">
        <v>374</v>
      </c>
      <c r="J249" s="85">
        <v>21866455</v>
      </c>
      <c r="L249" s="85">
        <v>43300128</v>
      </c>
      <c r="N249" s="74" t="s">
        <v>375</v>
      </c>
      <c r="O249" s="75" t="str">
        <f>VLOOKUP(N249,[1]UPS_SETIIPRESS!$A$2:$B$527,2,0)</f>
        <v>CENTRO QUIRÚRGICO Y ANESTESIOLOGÍA</v>
      </c>
      <c r="P249" s="31">
        <v>67</v>
      </c>
      <c r="Q249" s="31" t="s">
        <v>50</v>
      </c>
      <c r="R249" s="31" t="s">
        <v>103</v>
      </c>
      <c r="S249" s="31" t="s">
        <v>54</v>
      </c>
      <c r="T249" s="31" t="s">
        <v>54</v>
      </c>
      <c r="U249" s="31" t="s">
        <v>331</v>
      </c>
      <c r="V249" s="31" t="s">
        <v>56</v>
      </c>
      <c r="AA249" s="31">
        <v>46275</v>
      </c>
    </row>
    <row r="250" spans="1:27" ht="13.5" x14ac:dyDescent="0.25">
      <c r="A250" s="30">
        <v>46052</v>
      </c>
      <c r="B250" s="71" t="s">
        <v>372</v>
      </c>
      <c r="C250" s="31" t="s">
        <v>100</v>
      </c>
      <c r="D250" s="72">
        <v>17024</v>
      </c>
      <c r="E250" s="31">
        <v>1</v>
      </c>
      <c r="F250" s="73" t="s">
        <v>373</v>
      </c>
      <c r="G250" s="31" t="s">
        <v>60</v>
      </c>
      <c r="H250" s="31" t="s">
        <v>228</v>
      </c>
      <c r="I250" s="73" t="s">
        <v>374</v>
      </c>
      <c r="J250" s="85">
        <v>10149432</v>
      </c>
      <c r="L250" s="85">
        <v>62956182</v>
      </c>
      <c r="N250" s="74" t="s">
        <v>375</v>
      </c>
      <c r="O250" s="75" t="str">
        <f>VLOOKUP(N250,[1]UPS_SETIIPRESS!$A$2:$B$527,2,0)</f>
        <v>CENTRO QUIRÚRGICO Y ANESTESIOLOGÍA</v>
      </c>
      <c r="P250" s="31">
        <v>14</v>
      </c>
      <c r="Q250" s="31" t="s">
        <v>63</v>
      </c>
      <c r="R250" s="31" t="s">
        <v>63</v>
      </c>
      <c r="S250" s="31" t="s">
        <v>54</v>
      </c>
      <c r="T250" s="31" t="s">
        <v>54</v>
      </c>
      <c r="U250" s="31" t="s">
        <v>333</v>
      </c>
      <c r="V250" s="31" t="s">
        <v>56</v>
      </c>
      <c r="AA250" s="31">
        <v>19120</v>
      </c>
    </row>
    <row r="251" spans="1:27" ht="13.5" x14ac:dyDescent="0.25">
      <c r="A251" s="30">
        <v>46052</v>
      </c>
      <c r="B251" s="71" t="s">
        <v>372</v>
      </c>
      <c r="C251" s="31" t="s">
        <v>49</v>
      </c>
      <c r="D251" s="72">
        <v>17024</v>
      </c>
      <c r="E251" s="31">
        <v>1</v>
      </c>
      <c r="F251" s="73" t="s">
        <v>373</v>
      </c>
      <c r="G251" s="31" t="s">
        <v>50</v>
      </c>
      <c r="H251" s="31" t="s">
        <v>213</v>
      </c>
      <c r="I251" s="73" t="s">
        <v>374</v>
      </c>
      <c r="J251" s="85">
        <v>43103030</v>
      </c>
      <c r="L251" s="85">
        <v>47332818</v>
      </c>
      <c r="N251" s="74" t="s">
        <v>375</v>
      </c>
      <c r="O251" s="75" t="str">
        <f>VLOOKUP(N251,[1]UPS_SETIIPRESS!$A$2:$B$527,2,0)</f>
        <v>CENTRO QUIRÚRGICO Y ANESTESIOLOGÍA</v>
      </c>
      <c r="P251" s="31">
        <v>33</v>
      </c>
      <c r="Q251" s="31" t="s">
        <v>63</v>
      </c>
      <c r="R251" s="31" t="s">
        <v>334</v>
      </c>
      <c r="S251" s="31" t="s">
        <v>76</v>
      </c>
      <c r="T251" s="31">
        <v>0</v>
      </c>
      <c r="U251" s="31" t="s">
        <v>194</v>
      </c>
      <c r="V251" s="31" t="s">
        <v>56</v>
      </c>
      <c r="AA251" s="31">
        <v>59510</v>
      </c>
    </row>
    <row r="252" spans="1:27" ht="13.5" x14ac:dyDescent="0.25">
      <c r="A252" s="30">
        <v>46052</v>
      </c>
      <c r="B252" s="71" t="s">
        <v>372</v>
      </c>
      <c r="C252" s="31" t="s">
        <v>127</v>
      </c>
      <c r="D252" s="72">
        <v>17024</v>
      </c>
      <c r="E252" s="31">
        <v>1</v>
      </c>
      <c r="F252" s="73" t="s">
        <v>373</v>
      </c>
      <c r="G252" s="31" t="s">
        <v>60</v>
      </c>
      <c r="H252" s="31" t="s">
        <v>158</v>
      </c>
      <c r="I252" s="73" t="s">
        <v>374</v>
      </c>
      <c r="J252" s="85">
        <v>10144432</v>
      </c>
      <c r="L252" s="85">
        <v>17619723</v>
      </c>
      <c r="N252" s="74" t="s">
        <v>375</v>
      </c>
      <c r="O252" s="75" t="str">
        <f>VLOOKUP(N252,[1]UPS_SETIIPRESS!$A$2:$B$527,2,0)</f>
        <v>CENTRO QUIRÚRGICO Y ANESTESIOLOGÍA</v>
      </c>
      <c r="P252" s="31">
        <v>52</v>
      </c>
      <c r="Q252" s="31" t="s">
        <v>63</v>
      </c>
      <c r="R252" s="31" t="s">
        <v>58</v>
      </c>
      <c r="S252" s="31" t="s">
        <v>54</v>
      </c>
      <c r="T252" s="31" t="s">
        <v>54</v>
      </c>
      <c r="U252" s="31" t="s">
        <v>335</v>
      </c>
      <c r="V252" s="31" t="s">
        <v>56</v>
      </c>
      <c r="AA252" s="31">
        <v>49592</v>
      </c>
    </row>
    <row r="253" spans="1:27" ht="13.5" x14ac:dyDescent="0.25">
      <c r="A253" s="30">
        <v>46052</v>
      </c>
      <c r="B253" s="71" t="s">
        <v>372</v>
      </c>
      <c r="C253" s="31" t="s">
        <v>127</v>
      </c>
      <c r="D253" s="72">
        <v>17024</v>
      </c>
      <c r="E253" s="31">
        <v>1</v>
      </c>
      <c r="F253" s="73" t="s">
        <v>373</v>
      </c>
      <c r="G253" s="31" t="s">
        <v>50</v>
      </c>
      <c r="H253" s="31" t="s">
        <v>98</v>
      </c>
      <c r="I253" s="73" t="s">
        <v>374</v>
      </c>
      <c r="J253" s="85">
        <v>44897100</v>
      </c>
      <c r="L253" s="85">
        <v>43267564</v>
      </c>
      <c r="N253" s="74" t="s">
        <v>375</v>
      </c>
      <c r="O253" s="75" t="str">
        <f>VLOOKUP(N253,[1]UPS_SETIIPRESS!$A$2:$B$527,2,0)</f>
        <v>CENTRO QUIRÚRGICO Y ANESTESIOLOGÍA</v>
      </c>
      <c r="P253" s="31">
        <v>74</v>
      </c>
      <c r="Q253" s="31" t="s">
        <v>50</v>
      </c>
      <c r="R253" s="31" t="s">
        <v>58</v>
      </c>
      <c r="S253" s="31" t="s">
        <v>54</v>
      </c>
      <c r="T253" s="31" t="s">
        <v>54</v>
      </c>
      <c r="U253" s="31" t="s">
        <v>135</v>
      </c>
      <c r="V253" s="31" t="s">
        <v>56</v>
      </c>
      <c r="AA253" s="31">
        <v>26951</v>
      </c>
    </row>
    <row r="254" spans="1:27" ht="13.5" x14ac:dyDescent="0.25">
      <c r="A254" s="30">
        <v>46052</v>
      </c>
      <c r="B254" s="71" t="s">
        <v>372</v>
      </c>
      <c r="C254" s="31" t="s">
        <v>127</v>
      </c>
      <c r="D254" s="72">
        <v>17024</v>
      </c>
      <c r="E254" s="31">
        <v>1</v>
      </c>
      <c r="F254" s="73" t="s">
        <v>373</v>
      </c>
      <c r="G254" s="31" t="s">
        <v>60</v>
      </c>
      <c r="H254" s="31" t="s">
        <v>336</v>
      </c>
      <c r="I254" s="73" t="s">
        <v>374</v>
      </c>
      <c r="J254" s="85">
        <v>7476062</v>
      </c>
      <c r="L254" s="85">
        <v>74379095</v>
      </c>
      <c r="N254" s="74" t="s">
        <v>375</v>
      </c>
      <c r="O254" s="75" t="str">
        <f>VLOOKUP(N254,[1]UPS_SETIIPRESS!$A$2:$B$527,2,0)</f>
        <v>CENTRO QUIRÚRGICO Y ANESTESIOLOGÍA</v>
      </c>
      <c r="P254" s="31">
        <v>29</v>
      </c>
      <c r="Q254" s="31" t="s">
        <v>63</v>
      </c>
      <c r="R254" s="31" t="s">
        <v>334</v>
      </c>
      <c r="S254" s="31" t="s">
        <v>76</v>
      </c>
      <c r="T254" s="31" t="s">
        <v>54</v>
      </c>
      <c r="U254" s="31" t="s">
        <v>338</v>
      </c>
      <c r="V254" s="31" t="s">
        <v>56</v>
      </c>
      <c r="AA254" s="31">
        <v>59510</v>
      </c>
    </row>
    <row r="255" spans="1:27" ht="13.5" x14ac:dyDescent="0.25">
      <c r="A255" s="30">
        <v>46053</v>
      </c>
      <c r="B255" s="71" t="s">
        <v>372</v>
      </c>
      <c r="C255" s="31" t="s">
        <v>59</v>
      </c>
      <c r="D255" s="72">
        <v>17024</v>
      </c>
      <c r="E255" s="31">
        <v>1</v>
      </c>
      <c r="F255" s="73" t="s">
        <v>373</v>
      </c>
      <c r="G255" s="31" t="s">
        <v>50</v>
      </c>
      <c r="H255" s="31" t="s">
        <v>339</v>
      </c>
      <c r="I255" s="73" t="s">
        <v>374</v>
      </c>
      <c r="J255" s="85">
        <v>42193991</v>
      </c>
      <c r="L255" s="85">
        <v>10327730</v>
      </c>
      <c r="N255" s="74" t="s">
        <v>375</v>
      </c>
      <c r="O255" s="75" t="str">
        <f>VLOOKUP(N255,[1]UPS_SETIIPRESS!$A$2:$B$527,2,0)</f>
        <v>CENTRO QUIRÚRGICO Y ANESTESIOLOGÍA</v>
      </c>
      <c r="P255" s="31">
        <v>69</v>
      </c>
      <c r="Q255" s="31" t="s">
        <v>63</v>
      </c>
      <c r="R255" s="31" t="s">
        <v>63</v>
      </c>
      <c r="S255" s="31" t="s">
        <v>54</v>
      </c>
      <c r="T255" s="31" t="s">
        <v>54</v>
      </c>
      <c r="U255" s="31" t="s">
        <v>340</v>
      </c>
      <c r="V255" s="31" t="s">
        <v>56</v>
      </c>
      <c r="AA255" s="31">
        <v>22842</v>
      </c>
    </row>
    <row r="256" spans="1:27" ht="13.5" x14ac:dyDescent="0.25">
      <c r="A256" s="30">
        <v>46053</v>
      </c>
      <c r="B256" s="71" t="s">
        <v>372</v>
      </c>
      <c r="C256" s="31" t="s">
        <v>59</v>
      </c>
      <c r="D256" s="72">
        <v>17024</v>
      </c>
      <c r="E256" s="31">
        <v>1</v>
      </c>
      <c r="F256" s="73" t="s">
        <v>373</v>
      </c>
      <c r="G256" s="31" t="s">
        <v>60</v>
      </c>
      <c r="H256" s="31" t="s">
        <v>101</v>
      </c>
      <c r="I256" s="73" t="s">
        <v>374</v>
      </c>
      <c r="J256" s="85">
        <v>46041788</v>
      </c>
      <c r="L256" s="85">
        <v>83376449</v>
      </c>
      <c r="N256" s="74" t="s">
        <v>375</v>
      </c>
      <c r="O256" s="75" t="str">
        <f>VLOOKUP(N256,[1]UPS_SETIIPRESS!$A$2:$B$527,2,0)</f>
        <v>CENTRO QUIRÚRGICO Y ANESTESIOLOGÍA</v>
      </c>
      <c r="P256" s="31">
        <v>87</v>
      </c>
      <c r="Q256" s="31" t="s">
        <v>63</v>
      </c>
      <c r="R256" s="31" t="s">
        <v>63</v>
      </c>
      <c r="S256" s="31" t="s">
        <v>54</v>
      </c>
      <c r="T256" s="31" t="s">
        <v>54</v>
      </c>
      <c r="U256" s="31" t="s">
        <v>321</v>
      </c>
      <c r="V256" s="31" t="s">
        <v>56</v>
      </c>
      <c r="AA256" s="31">
        <v>27130</v>
      </c>
    </row>
    <row r="257" spans="1:27" ht="13.5" x14ac:dyDescent="0.25">
      <c r="A257" s="30">
        <v>46053</v>
      </c>
      <c r="B257" s="71" t="s">
        <v>372</v>
      </c>
      <c r="C257" s="31" t="s">
        <v>97</v>
      </c>
      <c r="D257" s="72">
        <v>17024</v>
      </c>
      <c r="E257" s="31">
        <v>1</v>
      </c>
      <c r="F257" s="73" t="s">
        <v>373</v>
      </c>
      <c r="G257" s="31" t="s">
        <v>60</v>
      </c>
      <c r="H257" s="31" t="s">
        <v>101</v>
      </c>
      <c r="I257" s="73" t="s">
        <v>374</v>
      </c>
      <c r="J257" s="85">
        <v>46041788</v>
      </c>
      <c r="L257" s="85">
        <v>6600258</v>
      </c>
      <c r="N257" s="74" t="s">
        <v>375</v>
      </c>
      <c r="O257" s="75" t="str">
        <f>VLOOKUP(N257,[1]UPS_SETIIPRESS!$A$2:$B$527,2,0)</f>
        <v>CENTRO QUIRÚRGICO Y ANESTESIOLOGÍA</v>
      </c>
      <c r="P257" s="31">
        <v>76</v>
      </c>
      <c r="Q257" s="31" t="s">
        <v>63</v>
      </c>
      <c r="R257" s="31" t="s">
        <v>65</v>
      </c>
      <c r="S257" s="31" t="s">
        <v>54</v>
      </c>
      <c r="T257" s="31" t="s">
        <v>54</v>
      </c>
      <c r="U257" s="31" t="s">
        <v>102</v>
      </c>
      <c r="V257" s="31" t="s">
        <v>56</v>
      </c>
      <c r="AA257" s="31">
        <v>26995</v>
      </c>
    </row>
    <row r="258" spans="1:27" ht="13.5" x14ac:dyDescent="0.25">
      <c r="A258" s="30">
        <v>46053</v>
      </c>
      <c r="B258" s="71" t="s">
        <v>372</v>
      </c>
      <c r="C258" s="31" t="s">
        <v>49</v>
      </c>
      <c r="D258" s="72">
        <v>17024</v>
      </c>
      <c r="E258" s="31">
        <v>1</v>
      </c>
      <c r="F258" s="73" t="s">
        <v>373</v>
      </c>
      <c r="G258" s="31" t="s">
        <v>60</v>
      </c>
      <c r="H258" s="31" t="s">
        <v>195</v>
      </c>
      <c r="I258" s="73" t="s">
        <v>374</v>
      </c>
      <c r="J258" s="85">
        <v>32951664</v>
      </c>
      <c r="L258" s="85">
        <v>8191423</v>
      </c>
      <c r="N258" s="74" t="s">
        <v>375</v>
      </c>
      <c r="O258" s="75" t="str">
        <f>VLOOKUP(N258,[1]UPS_SETIIPRESS!$A$2:$B$527,2,0)</f>
        <v>CENTRO QUIRÚRGICO Y ANESTESIOLOGÍA</v>
      </c>
      <c r="P258" s="31">
        <v>97</v>
      </c>
      <c r="Q258" s="31" t="s">
        <v>63</v>
      </c>
      <c r="R258" s="31" t="s">
        <v>63</v>
      </c>
      <c r="S258" s="31" t="s">
        <v>54</v>
      </c>
      <c r="T258" s="31" t="s">
        <v>54</v>
      </c>
      <c r="U258" s="31" t="s">
        <v>155</v>
      </c>
      <c r="V258" s="31" t="s">
        <v>56</v>
      </c>
      <c r="AA258" s="31">
        <v>47562</v>
      </c>
    </row>
  </sheetData>
  <mergeCells count="7">
    <mergeCell ref="Z1:Z2"/>
    <mergeCell ref="A1:A2"/>
    <mergeCell ref="B1:B2"/>
    <mergeCell ref="E1:F1"/>
    <mergeCell ref="J1:J2"/>
    <mergeCell ref="V1:V2"/>
    <mergeCell ref="X1:X2"/>
  </mergeCells>
  <phoneticPr fontId="19" type="noConversion"/>
  <hyperlinks>
    <hyperlink ref="N1" location="_Tabla_3._Servicio" display="_Tabla_3._Servicio" xr:uid="{06B22A12-35CA-4D8C-A7F4-A697BF280598}"/>
    <hyperlink ref="U1" location="_Tabla_3._Clasificación" display="_Tabla_3._Clasificación" xr:uid="{5B893441-645A-4BD6-B930-582FA1896F04}"/>
    <hyperlink ref="W1" location="_Tabla_3._Clasificación" display="_Tabla_3._Clasificación" xr:uid="{58D2B078-3334-47F4-A8F8-C7BF54EF70CB}"/>
    <hyperlink ref="Y1" location="_Tabla_3._Clasificación" display="_Tabla_3._Clasificación" xr:uid="{616F3E24-A6DF-43FD-AC18-B7F08D22E1D9}"/>
    <hyperlink ref="AA1" location="_Tabla_3._Clasificación" display="_Tabla_3._Clasificación" xr:uid="{5CD93FB8-B7C6-43F9-BD05-A97E0E9B85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2026-02-04T15:02:25Z</dcterms:modified>
</cp:coreProperties>
</file>